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Guide &amp; Vetting Guid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Daily Progress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0F172A"/>
      <sz val="18"/>
    </font>
    <font>
      <name val="Segoe UI"/>
      <b val="1"/>
      <color rgb="00FFFFFF"/>
      <sz val="11"/>
    </font>
    <font>
      <name val="Segoe UI"/>
      <b val="1"/>
      <color rgb="000F766E"/>
      <sz val="13"/>
    </font>
    <font>
      <name val="Segoe UI"/>
      <color rgb="00334155"/>
      <sz val="10"/>
    </font>
    <font>
      <name val="Segoe UI"/>
      <b val="1"/>
      <color rgb="001E293B"/>
      <sz val="10"/>
    </font>
    <font>
      <name val="Segoe UI"/>
      <b val="1"/>
      <color rgb="0064748B"/>
      <sz val="9"/>
    </font>
    <font>
      <name val="Segoe UI"/>
      <b val="1"/>
      <color rgb="000F766E"/>
      <sz val="20"/>
    </font>
  </fonts>
  <fills count="6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0FDFA"/>
        <bgColor rgb="00F0FDFA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F766E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9" fontId="5" fillId="0" borderId="3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dxfs count="3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854D0E"/>
        <sz val="10"/>
      </font>
      <fill>
        <patternFill patternType="solid">
          <fgColor rgb="00FEF9C3"/>
          <bgColor rgb="00FEF9C3"/>
        </patternFill>
      </fill>
    </dxf>
    <dxf>
      <font>
        <name val="Segoe UI"/>
        <b val="1"/>
        <color rgb="00475569"/>
        <sz val="10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Milestone Phase Completion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Dashboard'!$A$10:$A$18</f>
            </numRef>
          </cat>
          <val>
            <numRef>
              <f>'Executive Dashboard'!$D$10:$D$18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Completion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5" customWidth="1" min="3" max="3"/>
  </cols>
  <sheetData>
    <row r="1" ht="20" customHeight="1">
      <c r="A1" s="1" t="inlineStr">
        <is>
          <t>C SYSTEMS PROGRAMMING 45-DAY ELITE FAST-TRACK - GUIDE &amp; METRICS</t>
        </is>
      </c>
    </row>
    <row r="2" ht="20" customHeight="1"/>
    <row r="4" ht="24" customHeight="1">
      <c r="A4" s="3" t="inlineStr">
        <is>
          <t>1. HOW TO NAVIGATE AND FILL THE TRACKER</t>
        </is>
      </c>
    </row>
    <row r="5" ht="22" customHeight="1">
      <c r="A5" s="4" t="inlineStr">
        <is>
          <t>Action Step</t>
        </is>
      </c>
      <c r="B5" s="4" t="inlineStr">
        <is>
          <t>Procedural Instructions &amp; Methodology</t>
        </is>
      </c>
      <c r="C5" s="4" t="inlineStr">
        <is>
          <t>Associated Tab / Location</t>
        </is>
      </c>
    </row>
    <row r="6" ht="22" customHeight="1">
      <c r="A6" s="5" t="inlineStr">
        <is>
          <t>Step 1: Read Daily Spec</t>
        </is>
      </c>
      <c r="B6" s="5" t="inlineStr">
        <is>
          <t>Go to your workspace folder: /c-fast-track/Day_Plans/. Read the corresponding daily blueprint (Day_01.md to Day_45.md). Read the 4-Hour Theory Deep-Dive and complete the 4-Hour Unassisted Lab.</t>
        </is>
      </c>
      <c r="C6" s="6" t="inlineStr">
        <is>
          <t>Workspace Files: Day_Plans/</t>
        </is>
      </c>
    </row>
    <row r="7" ht="22" customHeight="1">
      <c r="A7" s="7" t="inlineStr">
        <is>
          <t>Step 2: Update Progress Status</t>
        </is>
      </c>
      <c r="B7" s="7" t="inlineStr">
        <is>
          <t>Select the 'Daily Progress Tracker' worksheet tab in this workbook. Locate the current day and set the 'Status' column dropdown selector to 'In Progress' or 'Completed'.</t>
        </is>
      </c>
      <c r="C7" s="8" t="inlineStr">
        <is>
          <t>Tab 3: Daily Progress Tracker</t>
        </is>
      </c>
    </row>
    <row r="8" ht="22" customHeight="1">
      <c r="A8" s="5" t="inlineStr">
        <is>
          <t>Step 3: Audit &amp; Grade Task</t>
        </is>
      </c>
      <c r="B8" s="5" t="inlineStr">
        <is>
          <t>Once the lab compiles and executes with zero warning flags, evaluate your understanding against the 5-Tier Vetting Scale. Select the appropriate rating from the 'Grade / Audit' column dropdown list.</t>
        </is>
      </c>
      <c r="C8" s="6" t="inlineStr">
        <is>
          <t>Tab 3: Daily Progress Tracker</t>
        </is>
      </c>
    </row>
    <row r="9" ht="22" customHeight="1">
      <c r="A9" s="7" t="inlineStr">
        <is>
          <t>Step 4: Analyze Dashboard</t>
        </is>
      </c>
      <c r="B9" s="7" t="inlineStr">
        <is>
          <t>Switch to the 'Executive Dashboard' worksheet tab. Analyze real-time KPI metrics cards and track active phase completion progress displayed on the column charts.</t>
        </is>
      </c>
      <c r="C9" s="8" t="inlineStr">
        <is>
          <t>Tab 2: Executive Dashboard</t>
        </is>
      </c>
    </row>
    <row r="12" ht="24" customHeight="1">
      <c r="A12" s="3" t="inlineStr">
        <is>
          <t>2. 5-TIER UNDERSTANDING MEASUREMENT METRICS (VETTING CRITERIA)</t>
        </is>
      </c>
    </row>
    <row r="13" ht="22" customHeight="1">
      <c r="A13" s="4" t="inlineStr">
        <is>
          <t>Grade / Audit Score</t>
        </is>
      </c>
      <c r="B13" s="4" t="inlineStr">
        <is>
          <t>Scale Target %</t>
        </is>
      </c>
      <c r="C13" s="4" t="inlineStr">
        <is>
          <t>Physical Evaluation Benchmarks (MISRA C &amp; Hardware Vetting Standards)</t>
        </is>
      </c>
    </row>
    <row r="14" ht="24" customHeight="1">
      <c r="A14" s="9" t="inlineStr">
        <is>
          <t>A+ [100%]</t>
        </is>
      </c>
      <c r="B14" s="6" t="inlineStr">
        <is>
          <t>100%</t>
        </is>
      </c>
      <c r="C14" s="5" t="inlineStr">
        <is>
          <t>Perfect unassisted delivery. Zero compiler warnings under strict '-Wall -Wextra -Werror -pedantic' C11 constraints. No memory leaks detected under Valgrind. Registers and hardware metrics successfully audited via GDB/Logic Analyzer.</t>
        </is>
      </c>
    </row>
    <row r="15" ht="24" customHeight="1">
      <c r="A15" s="10" t="inlineStr">
        <is>
          <t>A [90%]</t>
        </is>
      </c>
      <c r="B15" s="8" t="inlineStr">
        <is>
          <t>90%</t>
        </is>
      </c>
      <c r="C15" s="7" t="inlineStr">
        <is>
          <t>Clean compilation and execution with zero compiler warnings. Minor assisted code style adjustments permitted. High-quality documentation and safe defensive pointer boundaries implemented successfully.</t>
        </is>
      </c>
    </row>
    <row r="16" ht="24" customHeight="1">
      <c r="A16" s="9" t="inlineStr">
        <is>
          <t>B [80%]</t>
        </is>
      </c>
      <c r="B16" s="6" t="inlineStr">
        <is>
          <t>80%</t>
        </is>
      </c>
      <c r="C16" s="5" t="inlineStr">
        <is>
          <t>Compiles cleanly. Minor assisted corrections needed during structural alignments or preprocessor macros expansions. Program achieves functional output targets under debug audits.</t>
        </is>
      </c>
    </row>
    <row r="17" ht="24" customHeight="1">
      <c r="A17" s="10" t="inlineStr">
        <is>
          <t>C [70%]</t>
        </is>
      </c>
      <c r="B17" s="8" t="inlineStr">
        <is>
          <t>70%</t>
        </is>
      </c>
      <c r="C17" s="7" t="inlineStr">
        <is>
          <t>Compiles and runs with helper hints during lab execution. Program is functional, but contains suboptimal branching choices, redundant loops, or unoptimized variables structures.</t>
        </is>
      </c>
    </row>
    <row r="18" ht="24" customHeight="1">
      <c r="A18" s="9" t="inlineStr">
        <is>
          <t>F [Fail]</t>
        </is>
      </c>
      <c r="B18" s="6" t="inlineStr">
        <is>
          <t>0%</t>
        </is>
      </c>
      <c r="C18" s="5" t="inlineStr">
        <is>
          <t>Program fails to compile cleanly, contains memory leaks under Valgrind, or fails to implement basic functional registers validation gates.</t>
        </is>
      </c>
    </row>
    <row r="19" ht="24" customHeight="1">
      <c r="A19" s="10" t="inlineStr">
        <is>
          <t>Pending</t>
        </is>
      </c>
      <c r="B19" s="8" t="inlineStr">
        <is>
          <t>-</t>
        </is>
      </c>
      <c r="C19" s="7" t="inlineStr">
        <is>
          <t>Day task is not yet started or has not been audited.</t>
        </is>
      </c>
    </row>
    <row r="22" ht="24" customHeight="1">
      <c r="A22" s="3" t="inlineStr">
        <is>
          <t>3. KEY MILESTONE GATING CHECKS</t>
        </is>
      </c>
    </row>
    <row r="23" ht="22" customHeight="1">
      <c r="A23" s="4" t="inlineStr">
        <is>
          <t>Phase</t>
        </is>
      </c>
      <c r="B23" s="4" t="inlineStr">
        <is>
          <t>Days Mapped</t>
        </is>
      </c>
      <c r="C23" s="4" t="inlineStr">
        <is>
          <t>Core Gating Challenge Target</t>
        </is>
      </c>
    </row>
    <row r="24" ht="22" customHeight="1">
      <c r="A24" s="5" t="inlineStr">
        <is>
          <t>Phase 1: Compiler &amp; Toolchains</t>
        </is>
      </c>
      <c r="B24" s="6" t="inlineStr">
        <is>
          <t>Days 01 - 05</t>
        </is>
      </c>
      <c r="C24" s="5" t="inlineStr">
        <is>
          <t>Build modular project compiled with MM/MMD incremental Make dependency tracking.</t>
        </is>
      </c>
    </row>
    <row r="25" ht="22" customHeight="1">
      <c r="A25" s="7" t="inlineStr">
        <is>
          <t>Phase 2: Data &amp; Radix Hazards</t>
        </is>
      </c>
      <c r="B25" s="8" t="inlineStr">
        <is>
          <t>Days 06 - 10</t>
        </is>
      </c>
      <c r="C25" s="7" t="inlineStr">
        <is>
          <t>Write branch-free absolute value/conditional select routines checking asm loops.</t>
        </is>
      </c>
    </row>
    <row r="26" ht="22" customHeight="1">
      <c r="A26" s="5" t="inlineStr">
        <is>
          <t>Phase 3: Stack &amp; Execution Frame</t>
        </is>
      </c>
      <c r="B26" s="6" t="inlineStr">
        <is>
          <t>Days 11 - 15</t>
        </is>
      </c>
      <c r="C26" s="5" t="inlineStr">
        <is>
          <t>SMASH stack buffer of a dummy string array verifying stack canaries trap hook.</t>
        </is>
      </c>
    </row>
    <row r="27" ht="22" customHeight="1">
      <c r="A27" s="7" t="inlineStr">
        <is>
          <t>Phase 4: Pointers &amp; Arithmetic</t>
        </is>
      </c>
      <c r="B27" s="8" t="inlineStr">
        <is>
          <t>Days 16 - 20</t>
        </is>
      </c>
      <c r="C27" s="7" t="inlineStr">
        <is>
          <t>Implement command processor jump-table routing calculations cleanly without switch constructs.</t>
        </is>
      </c>
    </row>
    <row r="28" ht="22" customHeight="1">
      <c r="A28" s="5" t="inlineStr">
        <is>
          <t>Phase 5: Structures &amp; Alignments</t>
        </is>
      </c>
      <c r="B28" s="6" t="inlineStr">
        <is>
          <t>Days 21 - 25</t>
        </is>
      </c>
      <c r="C28" s="5" t="inlineStr">
        <is>
          <t>Manually serialize structural elements into Big-Endian arrays for network transport.</t>
        </is>
      </c>
    </row>
    <row r="29" ht="22" customHeight="1">
      <c r="A29" s="7" t="inlineStr">
        <is>
          <t>Phase 6: Custom Allocators</t>
        </is>
      </c>
      <c r="B29" s="8" t="inlineStr">
        <is>
          <t>Days 26 - 30</t>
        </is>
      </c>
      <c r="C29" s="7" t="inlineStr">
        <is>
          <t>Write custom aligned linear Arena and O(1) Slab allocator free list.</t>
        </is>
      </c>
    </row>
    <row r="30" ht="22" customHeight="1">
      <c r="A30" s="5" t="inlineStr">
        <is>
          <t>Phase 7: POSIX System Boundaries</t>
        </is>
      </c>
      <c r="B30" s="6" t="inlineStr">
        <is>
          <t>Days 31 - 35</t>
        </is>
      </c>
      <c r="C30" s="5" t="inlineStr">
        <is>
          <t>Configure zero-copy shared database mapper file index utilizing POSIX mmap.</t>
        </is>
      </c>
    </row>
    <row r="31" ht="22" customHeight="1">
      <c r="A31" s="7" t="inlineStr">
        <is>
          <t>Phase 8: Preprocessor Metaprogramming</t>
        </is>
      </c>
      <c r="B31" s="8" t="inlineStr">
        <is>
          <t>Days 36 - 40</t>
        </is>
      </c>
      <c r="C31" s="7" t="inlineStr">
        <is>
          <t>Generate dynamic Enum lists and translate functions using X-Macros tables.</t>
        </is>
      </c>
    </row>
    <row r="32" ht="22" customHeight="1">
      <c r="A32" s="5" t="inlineStr">
        <is>
          <t>Phase 9: Concurrency &amp; MISRA C</t>
        </is>
      </c>
      <c r="B32" s="6" t="inlineStr">
        <is>
          <t>Days 41 - 45</t>
        </is>
      </c>
      <c r="C32" s="5" t="inlineStr">
        <is>
          <t>Create thread-safe Producer-Consumer ring buffer using POSIX mutexes and cond variables.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38" customWidth="1" min="5" max="5"/>
    <col width="14" customWidth="1" min="6" max="6"/>
    <col width="14" customWidth="1" min="7" max="7"/>
  </cols>
  <sheetData>
    <row r="1">
      <c r="A1" s="11" t="inlineStr">
        <is>
          <t>C SYSTEMS PROGRAMMING EXECUTIVE DASHBOARD</t>
        </is>
      </c>
    </row>
    <row r="2"/>
    <row r="4" ht="18" customHeight="1">
      <c r="A4" s="12" t="inlineStr">
        <is>
          <t>TOTAL TARGET DAYS</t>
        </is>
      </c>
      <c r="B4" s="26" t="n"/>
      <c r="C4" s="12" t="inlineStr">
        <is>
          <t>COMPLETED</t>
        </is>
      </c>
      <c r="D4" s="12" t="inlineStr">
        <is>
          <t>IN PROGRESS</t>
        </is>
      </c>
      <c r="E4" s="12" t="inlineStr">
        <is>
          <t>NOT STARTED</t>
        </is>
      </c>
      <c r="F4" s="12" t="inlineStr">
        <is>
          <t>OVERALL COMPLETION %</t>
        </is>
      </c>
      <c r="G4" s="26" t="n"/>
    </row>
    <row r="5" ht="32" customHeight="1">
      <c r="A5" s="14" t="n">
        <v>45</v>
      </c>
      <c r="B5" s="26" t="n"/>
      <c r="C5" s="14">
        <f>COUNTIF('Daily Progress Tracker'!F5:F49, "Completed")</f>
        <v/>
      </c>
      <c r="D5" s="14">
        <f>COUNTIF('Daily Progress Tracker'!F5:F49, "In Progress")</f>
        <v/>
      </c>
      <c r="E5" s="14">
        <f>COUNTIF('Daily Progress Tracker'!F5:F49, "Not Started")</f>
        <v/>
      </c>
      <c r="F5" s="15">
        <f>C5/A5</f>
        <v/>
      </c>
      <c r="G5" s="26" t="n"/>
    </row>
    <row r="8">
      <c r="A8" s="3" t="inlineStr">
        <is>
          <t>TRAINING PHASE PERFORMANCE HIGHLIGHTS</t>
        </is>
      </c>
    </row>
    <row r="9" ht="24" customHeight="1">
      <c r="A9" s="4" t="inlineStr">
        <is>
          <t>Phase / Module Name</t>
        </is>
      </c>
      <c r="B9" s="4" t="inlineStr">
        <is>
          <t>Days Included</t>
        </is>
      </c>
      <c r="C9" s="4" t="inlineStr">
        <is>
          <t>Status</t>
        </is>
      </c>
      <c r="D9" s="4" t="inlineStr">
        <is>
          <t>Completion %</t>
        </is>
      </c>
      <c r="E9" s="4" t="inlineStr">
        <is>
          <t>Milestone Target Gate</t>
        </is>
      </c>
    </row>
    <row r="10" ht="22" customHeight="1">
      <c r="A10" s="5" t="inlineStr">
        <is>
          <t>Phase 1: Compiler &amp; Toolchains</t>
        </is>
      </c>
      <c r="B10" s="6" t="inlineStr">
        <is>
          <t>Day 01 - 05</t>
        </is>
      </c>
      <c r="C10" s="9">
        <f>IF(COUNTIF('Daily Progress Tracker'!F5:F9, "Completed")=5, "Completed", IF(COUNTIF('Daily Progress Tracker'!F5:F9, "Not Started")=5, "Not Started", "In Progress"))</f>
        <v/>
      </c>
      <c r="D10" s="16">
        <f>COUNTIF('Daily Progress Tracker'!F5:F9, "Completed")/5</f>
        <v/>
      </c>
      <c r="E10" s="5" t="inlineStr">
        <is>
          <t>Makefile Dependency Hook</t>
        </is>
      </c>
    </row>
    <row r="11" ht="22" customHeight="1">
      <c r="A11" s="7" t="inlineStr">
        <is>
          <t>Phase 2: Data &amp; Radix Hazards</t>
        </is>
      </c>
      <c r="B11" s="8" t="inlineStr">
        <is>
          <t>Day 06 - 10</t>
        </is>
      </c>
      <c r="C11" s="10">
        <f>IF(COUNTIF('Daily Progress Tracker'!F10:F14, "Completed")=5, "Completed", IF(COUNTIF('Daily Progress Tracker'!F10:F14, "Not Started")=5, "Not Started", "In Progress"))</f>
        <v/>
      </c>
      <c r="D11" s="17">
        <f>COUNTIF('Daily Progress Tracker'!F10:F14, "Completed")/5</f>
        <v/>
      </c>
      <c r="E11" s="7" t="inlineStr">
        <is>
          <t>Safe Float-Compare Parser</t>
        </is>
      </c>
    </row>
    <row r="12" ht="22" customHeight="1">
      <c r="A12" s="5" t="inlineStr">
        <is>
          <t>Phase 3: Stack &amp; Execution Frame</t>
        </is>
      </c>
      <c r="B12" s="6" t="inlineStr">
        <is>
          <t>Day 11 - 15</t>
        </is>
      </c>
      <c r="C12" s="9">
        <f>IF(COUNTIF('Daily Progress Tracker'!F15:F19, "Completed")=5, "Completed", IF(COUNTIF('Daily Progress Tracker'!F15:F19, "Not Started")=5, "Not Started", "In Progress"))</f>
        <v/>
      </c>
      <c r="D12" s="16">
        <f>COUNTIF('Daily Progress Tracker'!F15:F19, "Completed")/5</f>
        <v/>
      </c>
      <c r="E12" s="5" t="inlineStr">
        <is>
          <t>Stack Canary Overflow Audit</t>
        </is>
      </c>
    </row>
    <row r="13" ht="22" customHeight="1">
      <c r="A13" s="7" t="inlineStr">
        <is>
          <t>Phase 4: Pointers &amp; Arithmetic</t>
        </is>
      </c>
      <c r="B13" s="8" t="inlineStr">
        <is>
          <t>Day 16 - 20</t>
        </is>
      </c>
      <c r="C13" s="10">
        <f>IF(COUNTIF('Daily Progress Tracker'!F20:F24, "Completed")=5, "Completed", IF(COUNTIF('Daily Progress Tracker'!F20:F24, "Not Started")=5, "Not Started", "In Progress"))</f>
        <v/>
      </c>
      <c r="D13" s="17">
        <f>COUNTIF('Daily Progress Tracker'!F20:F24, "Completed")/5</f>
        <v/>
      </c>
      <c r="E13" s="7" t="inlineStr">
        <is>
          <t>Jump-Table Callbacks Map</t>
        </is>
      </c>
    </row>
    <row r="14" ht="22" customHeight="1">
      <c r="A14" s="5" t="inlineStr">
        <is>
          <t>Phase 5: Structures &amp; Alignments</t>
        </is>
      </c>
      <c r="B14" s="6" t="inlineStr">
        <is>
          <t>Day 21 - 25</t>
        </is>
      </c>
      <c r="C14" s="9">
        <f>IF(COUNTIF('Daily Progress Tracker'!F25:F29, "Completed")=5, "Completed", IF(COUNTIF('Daily Progress Tracker'!F25:F29, "Not Started")=5, "Not Started", "In Progress"))</f>
        <v/>
      </c>
      <c r="D14" s="16">
        <f>COUNTIF('Daily Progress Tracker'!F25:F29, "Completed")/5</f>
        <v/>
      </c>
      <c r="E14" s="5" t="inlineStr">
        <is>
          <t>Serialized Pack/Unpack</t>
        </is>
      </c>
    </row>
    <row r="15" ht="22" customHeight="1">
      <c r="A15" s="7" t="inlineStr">
        <is>
          <t>Phase 6: Custom Allocators</t>
        </is>
      </c>
      <c r="B15" s="8" t="inlineStr">
        <is>
          <t>Day 26 - 30</t>
        </is>
      </c>
      <c r="C15" s="10">
        <f>IF(COUNTIF('Daily Progress Tracker'!F30:F34, "Completed")=5, "Completed", IF(COUNTIF('Daily Progress Tracker'!F30:F34, "Not Started")=5, "Not Started", "In Progress"))</f>
        <v/>
      </c>
      <c r="D15" s="17">
        <f>COUNTIF('Daily Progress Tracker'!F30:F34, "Completed")/5</f>
        <v/>
      </c>
      <c r="E15" s="7" t="inlineStr">
        <is>
          <t>O(1) Slab Allocator</t>
        </is>
      </c>
    </row>
    <row r="16" ht="22" customHeight="1">
      <c r="A16" s="5" t="inlineStr">
        <is>
          <t>Phase 7: POSIX System Boundaries</t>
        </is>
      </c>
      <c r="B16" s="6" t="inlineStr">
        <is>
          <t>Day 31 - 35</t>
        </is>
      </c>
      <c r="C16" s="9">
        <f>IF(COUNTIF('Daily Progress Tracker'!F35:F39, "Completed")=5, "Completed", IF(COUNTIF('Daily Progress Tracker'!F35:F39, "Not Started")=5, "Not Started", "In Progress"))</f>
        <v/>
      </c>
      <c r="D16" s="16">
        <f>COUNTIF('Daily Progress Tracker'!F35:F39, "Completed")/5</f>
        <v/>
      </c>
      <c r="E16" s="5" t="inlineStr">
        <is>
          <t>Memory-Mapped Database Engine</t>
        </is>
      </c>
    </row>
    <row r="17" ht="22" customHeight="1">
      <c r="A17" s="7" t="inlineStr">
        <is>
          <t>Phase 8: Preprocessor Metaprogramming</t>
        </is>
      </c>
      <c r="B17" s="8" t="inlineStr">
        <is>
          <t>Day 36 - 40</t>
        </is>
      </c>
      <c r="C17" s="10">
        <f>IF(COUNTIF('Daily Progress Tracker'!F40:F44, "Completed")=5, "Completed", IF(COUNTIF('Daily Progress Tracker'!F40:F44, "Not Started")=5, "Not Started", "In Progress"))</f>
        <v/>
      </c>
      <c r="D17" s="17">
        <f>COUNTIF('Daily Progress Tracker'!F40:F44, "Completed")/5</f>
        <v/>
      </c>
      <c r="E17" s="7" t="inlineStr">
        <is>
          <t>X-Macros Dynamic Lookup Table</t>
        </is>
      </c>
    </row>
    <row r="18" ht="22" customHeight="1">
      <c r="A18" s="5" t="inlineStr">
        <is>
          <t>Phase 9: Concurrency &amp; MISRA C</t>
        </is>
      </c>
      <c r="B18" s="6" t="inlineStr">
        <is>
          <t>Day 41 - 45</t>
        </is>
      </c>
      <c r="C18" s="9">
        <f>IF(COUNTIF('Daily Progress Tracker'!F45:F49, "Completed")=5, "Completed", IF(COUNTIF('Daily Progress Tracker'!F45:F49, "Not Started")=5, "Not Started", "In Progress"))</f>
        <v/>
      </c>
      <c r="D18" s="16">
        <f>COUNTIF('Daily Progress Tracker'!F45:F49, "Completed")/5</f>
        <v/>
      </c>
      <c r="E18" s="5" t="inlineStr">
        <is>
          <t>MISRA pthreads Scheduler</t>
        </is>
      </c>
    </row>
    <row r="19">
      <c r="A19" s="18" t="inlineStr">
        <is>
          <t>Overall Program Status</t>
        </is>
      </c>
      <c r="B19" s="19" t="inlineStr">
        <is>
          <t>45 Days</t>
        </is>
      </c>
      <c r="C19" s="19">
        <f>IF(F5=1, "Completed", "Active")</f>
        <v/>
      </c>
      <c r="D19" s="20">
        <f>AVERAGE(D10:D18)</f>
        <v/>
      </c>
      <c r="E19" s="18" t="inlineStr">
        <is>
          <t>Final Graduation</t>
        </is>
      </c>
    </row>
  </sheetData>
  <mergeCells count="11">
    <mergeCell ref="A4:B4"/>
    <mergeCell ref="F4:G4"/>
    <mergeCell ref="D4"/>
    <mergeCell ref="C4"/>
    <mergeCell ref="A1:G2"/>
    <mergeCell ref="E4"/>
    <mergeCell ref="F5:G5"/>
    <mergeCell ref="A5:B5"/>
    <mergeCell ref="D5"/>
    <mergeCell ref="C5"/>
    <mergeCell ref="E5"/>
  </mergeCells>
  <conditionalFormatting sqref="C10:C1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50" customWidth="1" min="4" max="4"/>
    <col width="14" customWidth="1" min="5" max="5"/>
    <col width="14" customWidth="1" min="6" max="6"/>
    <col width="10" customWidth="1" min="7" max="7"/>
    <col width="14" customWidth="1" min="8" max="8"/>
    <col width="30" customWidth="1" min="9" max="9"/>
  </cols>
  <sheetData>
    <row r="1">
      <c r="A1" s="11" t="inlineStr">
        <is>
          <t>C SYSTEMS PROGRAMMING ELITE 45-DAY FAST-TRACK</t>
        </is>
      </c>
    </row>
    <row r="2"/>
    <row r="4" ht="28" customHeight="1">
      <c r="A4" s="21" t="inlineStr">
        <is>
          <t>Day</t>
        </is>
      </c>
      <c r="B4" s="21" t="inlineStr">
        <is>
          <t>Phase</t>
        </is>
      </c>
      <c r="C4" s="21" t="inlineStr">
        <is>
          <t>Core Focus Topic</t>
        </is>
      </c>
      <c r="D4" s="21" t="inlineStr">
        <is>
          <t>Vetting Challenge Task</t>
        </is>
      </c>
      <c r="E4" s="21" t="inlineStr">
        <is>
          <t>Target Date</t>
        </is>
      </c>
      <c r="F4" s="21" t="inlineStr">
        <is>
          <t>Status</t>
        </is>
      </c>
      <c r="G4" s="21" t="inlineStr">
        <is>
          <t>Weight</t>
        </is>
      </c>
      <c r="H4" s="21" t="inlineStr">
        <is>
          <t>Grade / Audit</t>
        </is>
      </c>
      <c r="I4" s="21" t="inlineStr">
        <is>
          <t>Notes / Blockages</t>
        </is>
      </c>
    </row>
    <row r="5" ht="20" customHeight="1">
      <c r="A5" s="9" t="inlineStr">
        <is>
          <t>Day 01</t>
        </is>
      </c>
      <c r="B5" s="5" t="inlineStr">
        <is>
          <t>Phase 1: Compiler &amp; Toolchains</t>
        </is>
      </c>
      <c r="C5" s="5" t="inlineStr">
        <is>
          <t>The Preprocessor Pipeline and Macro Expansion Hazards</t>
        </is>
      </c>
      <c r="D5" s="5" t="inlineStr">
        <is>
          <t>Compile and audit square preprocessor macros side-effects output</t>
        </is>
      </c>
      <c r="E5" s="6" t="inlineStr">
        <is>
          <t>2026-06-01</t>
        </is>
      </c>
      <c r="F5" s="9" t="inlineStr">
        <is>
          <t>Completed</t>
        </is>
      </c>
      <c r="G5" s="22" t="n">
        <v>0.02222222222222222</v>
      </c>
      <c r="H5" s="6" t="inlineStr">
        <is>
          <t>A+ [100%]</t>
        </is>
      </c>
      <c r="I5" s="23" t="inlineStr">
        <is>
          <t>Passed Autovet Harness on 2026-05-30 11:14</t>
        </is>
      </c>
    </row>
    <row r="6" ht="20" customHeight="1">
      <c r="A6" s="10" t="inlineStr">
        <is>
          <t>Day 02</t>
        </is>
      </c>
      <c r="B6" s="7" t="inlineStr">
        <is>
          <t>Phase 1: Compiler &amp; Toolchains</t>
        </is>
      </c>
      <c r="C6" s="7" t="inlineStr">
        <is>
          <t>Compilation to Assembly and GDB Register Analysis</t>
        </is>
      </c>
      <c r="D6" s="7" t="inlineStr">
        <is>
          <t>Compile to assembly using -S and step through execution registers</t>
        </is>
      </c>
      <c r="E6" s="8" t="inlineStr">
        <is>
          <t>2026-06-02</t>
        </is>
      </c>
      <c r="F6" s="10" t="inlineStr">
        <is>
          <t>Not Started</t>
        </is>
      </c>
      <c r="G6" s="24" t="n">
        <v>0.02222222222222222</v>
      </c>
      <c r="H6" s="8" t="inlineStr">
        <is>
          <t>Pending</t>
        </is>
      </c>
      <c r="I6" s="25" t="inlineStr"/>
    </row>
    <row r="7" ht="20" customHeight="1">
      <c r="A7" s="9" t="inlineStr">
        <is>
          <t>Day 03</t>
        </is>
      </c>
      <c r="B7" s="5" t="inlineStr">
        <is>
          <t>Phase 1: Compiler &amp; Toolchains</t>
        </is>
      </c>
      <c r="C7" s="5" t="inlineStr">
        <is>
          <t>Relocatable Object Files Dissection and Symbol Resolution</t>
        </is>
      </c>
      <c r="D7" s="5" t="inlineStr">
        <is>
          <t>Dissect symbols and segments (.text, .data, .bss, .rodata) using nm</t>
        </is>
      </c>
      <c r="E7" s="6" t="inlineStr">
        <is>
          <t>2026-06-03</t>
        </is>
      </c>
      <c r="F7" s="9" t="inlineStr">
        <is>
          <t>Not Started</t>
        </is>
      </c>
      <c r="G7" s="22" t="n">
        <v>0.02222222222222222</v>
      </c>
      <c r="H7" s="6" t="inlineStr">
        <is>
          <t>Pending</t>
        </is>
      </c>
      <c r="I7" s="23" t="inlineStr"/>
    </row>
    <row r="8" ht="20" customHeight="1">
      <c r="A8" s="10" t="inlineStr">
        <is>
          <t>Day 04</t>
        </is>
      </c>
      <c r="B8" s="7" t="inlineStr">
        <is>
          <t>Phase 1: Compiler &amp; Toolchains</t>
        </is>
      </c>
      <c r="C8" s="7" t="inlineStr">
        <is>
          <t>Linking Mechanics, Static/Dynamic Libraries, and Symbol Collisions</t>
        </is>
      </c>
      <c r="D8" s="7" t="inlineStr">
        <is>
          <t>Compile and link dynamic libraries checking rpath</t>
        </is>
      </c>
      <c r="E8" s="8" t="inlineStr">
        <is>
          <t>2026-06-04</t>
        </is>
      </c>
      <c r="F8" s="10" t="inlineStr">
        <is>
          <t>Not Started</t>
        </is>
      </c>
      <c r="G8" s="24" t="n">
        <v>0.02222222222222222</v>
      </c>
      <c r="H8" s="8" t="inlineStr">
        <is>
          <t>Pending</t>
        </is>
      </c>
      <c r="I8" s="25" t="inlineStr"/>
    </row>
    <row r="9" ht="20" customHeight="1">
      <c r="A9" s="9" t="inlineStr">
        <is>
          <t>Day 05</t>
        </is>
      </c>
      <c r="B9" s="5" t="inlineStr">
        <is>
          <t>Phase 1: Compiler &amp; Toolchains</t>
        </is>
      </c>
      <c r="C9" s="5" t="inlineStr">
        <is>
          <t>GNU Make, Implicit Dependencies, and Incremental Builds</t>
        </is>
      </c>
      <c r="D9" s="5" t="inlineStr">
        <is>
          <t>Write self-dependency tracking Makefile with MM/MMD</t>
        </is>
      </c>
      <c r="E9" s="6" t="inlineStr">
        <is>
          <t>2026-06-05</t>
        </is>
      </c>
      <c r="F9" s="9" t="inlineStr">
        <is>
          <t>Not Started</t>
        </is>
      </c>
      <c r="G9" s="22" t="n">
        <v>0.02222222222222222</v>
      </c>
      <c r="H9" s="6" t="inlineStr">
        <is>
          <t>Pending</t>
        </is>
      </c>
      <c r="I9" s="23" t="inlineStr"/>
    </row>
    <row r="10" ht="20" customHeight="1">
      <c r="A10" s="10" t="inlineStr">
        <is>
          <t>Day 06</t>
        </is>
      </c>
      <c r="B10" s="7" t="inlineStr">
        <is>
          <t>Phase 2: Data &amp; Radix Hazards</t>
        </is>
      </c>
      <c r="C10" s="7" t="inlineStr">
        <is>
          <t>POSIX Integer Scales, Two's Complement, and Sign Extensions</t>
        </is>
      </c>
      <c r="D10" s="7" t="inlineStr">
        <is>
          <t>Assign signed variables to unsigned variables printing raw hexadecimal</t>
        </is>
      </c>
      <c r="E10" s="8" t="inlineStr">
        <is>
          <t>2026-06-08</t>
        </is>
      </c>
      <c r="F10" s="10" t="inlineStr">
        <is>
          <t>Not Started</t>
        </is>
      </c>
      <c r="G10" s="24" t="n">
        <v>0.02222222222222222</v>
      </c>
      <c r="H10" s="8" t="inlineStr">
        <is>
          <t>Pending</t>
        </is>
      </c>
      <c r="I10" s="25" t="inlineStr"/>
    </row>
    <row r="11" ht="20" customHeight="1">
      <c r="A11" s="9" t="inlineStr">
        <is>
          <t>Day 07</t>
        </is>
      </c>
      <c r="B11" s="5" t="inlineStr">
        <is>
          <t>Phase 2: Data &amp; Radix Hazards</t>
        </is>
      </c>
      <c r="C11" s="5" t="inlineStr">
        <is>
          <t>Safe Integer Arithmetic, Overflow Detection, and Type Promotions</t>
        </is>
      </c>
      <c r="D11" s="5" t="inlineStr">
        <is>
          <t>Write robust overflow pre-check addition/multiplication C functions</t>
        </is>
      </c>
      <c r="E11" s="6" t="inlineStr">
        <is>
          <t>2026-06-09</t>
        </is>
      </c>
      <c r="F11" s="9" t="inlineStr">
        <is>
          <t>Not Started</t>
        </is>
      </c>
      <c r="G11" s="22" t="n">
        <v>0.02222222222222222</v>
      </c>
      <c r="H11" s="6" t="inlineStr">
        <is>
          <t>Pending</t>
        </is>
      </c>
      <c r="I11" s="23" t="inlineStr"/>
    </row>
    <row r="12" ht="20" customHeight="1">
      <c r="A12" s="10" t="inlineStr">
        <is>
          <t>Day 08</t>
        </is>
      </c>
      <c r="B12" s="7" t="inlineStr">
        <is>
          <t>Phase 2: Data &amp; Radix Hazards</t>
        </is>
      </c>
      <c r="C12" s="7" t="inlineStr">
        <is>
          <t>Floating-Point Internals (IEEE 754) and Precision Hazards</t>
        </is>
      </c>
      <c r="D12" s="7" t="inlineStr">
        <is>
          <t>Write robust epsilon float equality comparison logic</t>
        </is>
      </c>
      <c r="E12" s="8" t="inlineStr">
        <is>
          <t>2026-06-10</t>
        </is>
      </c>
      <c r="F12" s="10" t="inlineStr">
        <is>
          <t>Not Started</t>
        </is>
      </c>
      <c r="G12" s="24" t="n">
        <v>0.02222222222222222</v>
      </c>
      <c r="H12" s="8" t="inlineStr">
        <is>
          <t>Pending</t>
        </is>
      </c>
      <c r="I12" s="25" t="inlineStr"/>
    </row>
    <row r="13" ht="20" customHeight="1">
      <c r="A13" s="9" t="inlineStr">
        <is>
          <t>Day 09</t>
        </is>
      </c>
      <c r="B13" s="5" t="inlineStr">
        <is>
          <t>Phase 2: Data &amp; Radix Hazards</t>
        </is>
      </c>
      <c r="C13" s="5" t="inlineStr">
        <is>
          <t>Bitwise Operations, Masking, and Shift Hazards</t>
        </is>
      </c>
      <c r="D13" s="5" t="inlineStr">
        <is>
          <t>Design register status flags bit togglers avoiding undefined shifts</t>
        </is>
      </c>
      <c r="E13" s="6" t="inlineStr">
        <is>
          <t>2026-06-11</t>
        </is>
      </c>
      <c r="F13" s="9" t="inlineStr">
        <is>
          <t>Not Started</t>
        </is>
      </c>
      <c r="G13" s="22" t="n">
        <v>0.02222222222222222</v>
      </c>
      <c r="H13" s="6" t="inlineStr">
        <is>
          <t>Pending</t>
        </is>
      </c>
      <c r="I13" s="23" t="inlineStr"/>
    </row>
    <row r="14" ht="20" customHeight="1">
      <c r="A14" s="10" t="inlineStr">
        <is>
          <t>Day 10</t>
        </is>
      </c>
      <c r="B14" s="7" t="inlineStr">
        <is>
          <t>Phase 2: Data &amp; Radix Hazards</t>
        </is>
      </c>
      <c r="C14" s="7" t="inlineStr">
        <is>
          <t>Branch-Free Programming and ALU Pipeline Optimization</t>
        </is>
      </c>
      <c r="D14" s="7" t="inlineStr">
        <is>
          <t>Write branch-free absolute value and select methods checking assembly</t>
        </is>
      </c>
      <c r="E14" s="8" t="inlineStr">
        <is>
          <t>2026-06-12</t>
        </is>
      </c>
      <c r="F14" s="10" t="inlineStr">
        <is>
          <t>Not Started</t>
        </is>
      </c>
      <c r="G14" s="24" t="n">
        <v>0.02222222222222222</v>
      </c>
      <c r="H14" s="8" t="inlineStr">
        <is>
          <t>Pending</t>
        </is>
      </c>
      <c r="I14" s="25" t="inlineStr"/>
    </row>
    <row r="15" ht="20" customHeight="1">
      <c r="A15" s="9" t="inlineStr">
        <is>
          <t>Day 11</t>
        </is>
      </c>
      <c r="B15" s="5" t="inlineStr">
        <is>
          <t>Phase 3: Stack &amp; Execution Frame</t>
        </is>
      </c>
      <c r="C15" s="5" t="inlineStr">
        <is>
          <t>Activation Records and Procedure Call Standards (AAPCS)</t>
        </is>
      </c>
      <c r="D15" s="5" t="inlineStr">
        <is>
          <t>Verify AAPCS register arguments passing in GDB breakpoints</t>
        </is>
      </c>
      <c r="E15" s="6" t="inlineStr">
        <is>
          <t>2026-06-15</t>
        </is>
      </c>
      <c r="F15" s="9" t="inlineStr">
        <is>
          <t>Not Started</t>
        </is>
      </c>
      <c r="G15" s="22" t="n">
        <v>0.02222222222222222</v>
      </c>
      <c r="H15" s="6" t="inlineStr">
        <is>
          <t>Pending</t>
        </is>
      </c>
      <c r="I15" s="23" t="inlineStr"/>
    </row>
    <row r="16" ht="20" customHeight="1">
      <c r="A16" s="10" t="inlineStr">
        <is>
          <t>Day 12</t>
        </is>
      </c>
      <c r="B16" s="7" t="inlineStr">
        <is>
          <t>Phase 3: Stack &amp; Execution Frame</t>
        </is>
      </c>
      <c r="C16" s="7" t="inlineStr">
        <is>
          <t>Function Frame Layout, Prologue, and Epilogue Assembly</t>
        </is>
      </c>
      <c r="D16" s="7" t="inlineStr">
        <is>
          <t>Audit SP moves and push/pop instruction layouts inside custom assembly</t>
        </is>
      </c>
      <c r="E16" s="8" t="inlineStr">
        <is>
          <t>2026-06-16</t>
        </is>
      </c>
      <c r="F16" s="10" t="inlineStr">
        <is>
          <t>Not Started</t>
        </is>
      </c>
      <c r="G16" s="24" t="n">
        <v>0.02222222222222222</v>
      </c>
      <c r="H16" s="8" t="inlineStr">
        <is>
          <t>Pending</t>
        </is>
      </c>
      <c r="I16" s="25" t="inlineStr"/>
    </row>
    <row r="17" ht="20" customHeight="1">
      <c r="A17" s="9" t="inlineStr">
        <is>
          <t>Day 13</t>
        </is>
      </c>
      <c r="B17" s="5" t="inlineStr">
        <is>
          <t>Phase 3: Stack &amp; Execution Frame</t>
        </is>
      </c>
      <c r="C17" s="5" t="inlineStr">
        <is>
          <t>Local Variable Lifetimes, Storage Classes, and Scope Boundaries</t>
        </is>
      </c>
      <c r="D17" s="5" t="inlineStr">
        <is>
          <t>Verify static address persistence vs stack decay warnings</t>
        </is>
      </c>
      <c r="E17" s="6" t="inlineStr">
        <is>
          <t>2026-06-17</t>
        </is>
      </c>
      <c r="F17" s="9" t="inlineStr">
        <is>
          <t>Not Started</t>
        </is>
      </c>
      <c r="G17" s="22" t="n">
        <v>0.02222222222222222</v>
      </c>
      <c r="H17" s="6" t="inlineStr">
        <is>
          <t>Pending</t>
        </is>
      </c>
      <c r="I17" s="23" t="inlineStr"/>
    </row>
    <row r="18" ht="20" customHeight="1">
      <c r="A18" s="10" t="inlineStr">
        <is>
          <t>Day 14</t>
        </is>
      </c>
      <c r="B18" s="7" t="inlineStr">
        <is>
          <t>Phase 3: Stack &amp; Execution Frame</t>
        </is>
      </c>
      <c r="C18" s="7" t="inlineStr">
        <is>
          <t>Stack Overflow Hazards, MSP vs PSP, and MPU Guard Bands</t>
        </is>
      </c>
      <c r="D18" s="7" t="inlineStr">
        <is>
          <t>Generate stack overflows in GDB using recursive allocations</t>
        </is>
      </c>
      <c r="E18" s="8" t="inlineStr">
        <is>
          <t>2026-06-18</t>
        </is>
      </c>
      <c r="F18" s="10" t="inlineStr">
        <is>
          <t>Not Started</t>
        </is>
      </c>
      <c r="G18" s="24" t="n">
        <v>0.02222222222222222</v>
      </c>
      <c r="H18" s="8" t="inlineStr">
        <is>
          <t>Pending</t>
        </is>
      </c>
      <c r="I18" s="25" t="inlineStr"/>
    </row>
    <row r="19" ht="20" customHeight="1">
      <c r="A19" s="9" t="inlineStr">
        <is>
          <t>Day 15</t>
        </is>
      </c>
      <c r="B19" s="5" t="inlineStr">
        <is>
          <t>Phase 3: Stack &amp; Execution Frame</t>
        </is>
      </c>
      <c r="C19" s="5" t="inlineStr">
        <is>
          <t>Stack Canaries and Buffer Overflow Defensive Coding</t>
        </is>
      </c>
      <c r="D19" s="5" t="inlineStr">
        <is>
          <t>Verify stack protector failure trap hook by smashing local buffer</t>
        </is>
      </c>
      <c r="E19" s="6" t="inlineStr">
        <is>
          <t>2026-06-19</t>
        </is>
      </c>
      <c r="F19" s="9" t="inlineStr">
        <is>
          <t>Not Started</t>
        </is>
      </c>
      <c r="G19" s="22" t="n">
        <v>0.02222222222222222</v>
      </c>
      <c r="H19" s="6" t="inlineStr">
        <is>
          <t>Pending</t>
        </is>
      </c>
      <c r="I19" s="23" t="inlineStr"/>
    </row>
    <row r="20" ht="20" customHeight="1">
      <c r="A20" s="10" t="inlineStr">
        <is>
          <t>Day 16</t>
        </is>
      </c>
      <c r="B20" s="7" t="inlineStr">
        <is>
          <t>Phase 4: Pointers &amp; Arithmetic</t>
        </is>
      </c>
      <c r="C20" s="7" t="inlineStr">
        <is>
          <t>Pointers Dereferencing, Decay, and Multi-Dimensional Arrays</t>
        </is>
      </c>
      <c r="D20" s="7" t="inlineStr">
        <is>
          <t>Write row-major calculations representing matrix offsets</t>
        </is>
      </c>
      <c r="E20" s="8" t="inlineStr">
        <is>
          <t>2026-06-22</t>
        </is>
      </c>
      <c r="F20" s="10" t="inlineStr">
        <is>
          <t>Not Started</t>
        </is>
      </c>
      <c r="G20" s="24" t="n">
        <v>0.02222222222222222</v>
      </c>
      <c r="H20" s="8" t="inlineStr">
        <is>
          <t>Pending</t>
        </is>
      </c>
      <c r="I20" s="25" t="inlineStr"/>
    </row>
    <row r="21" ht="20" customHeight="1">
      <c r="A21" s="9" t="inlineStr">
        <is>
          <t>Day 17</t>
        </is>
      </c>
      <c r="B21" s="5" t="inlineStr">
        <is>
          <t>Phase 4: Pointers &amp; Arithmetic</t>
        </is>
      </c>
      <c r="C21" s="5" t="inlineStr">
        <is>
          <t>Pointer Arithmetic Scaling Mathematics and Offset Mapping</t>
        </is>
      </c>
      <c r="D21" s="5" t="inlineStr">
        <is>
          <t>Verify address scaling gaps based on target types size differences</t>
        </is>
      </c>
      <c r="E21" s="6" t="inlineStr">
        <is>
          <t>2026-06-23</t>
        </is>
      </c>
      <c r="F21" s="9" t="inlineStr">
        <is>
          <t>Not Started</t>
        </is>
      </c>
      <c r="G21" s="22" t="n">
        <v>0.02222222222222222</v>
      </c>
      <c r="H21" s="6" t="inlineStr">
        <is>
          <t>Pending</t>
        </is>
      </c>
      <c r="I21" s="23" t="inlineStr"/>
    </row>
    <row r="22" ht="20" customHeight="1">
      <c r="A22" s="10" t="inlineStr">
        <is>
          <t>Day 18</t>
        </is>
      </c>
      <c r="B22" s="7" t="inlineStr">
        <is>
          <t>Phase 4: Pointers &amp; Arithmetic</t>
        </is>
      </c>
      <c r="C22" s="7" t="inlineStr">
        <is>
          <t>Volatile Pointer Configurations and Memory-Mapped Registers</t>
        </is>
      </c>
      <c r="D22" s="7" t="inlineStr">
        <is>
          <t>Audit optimized assembly polling loops with and without volatile</t>
        </is>
      </c>
      <c r="E22" s="8" t="inlineStr">
        <is>
          <t>2026-06-24</t>
        </is>
      </c>
      <c r="F22" s="10" t="inlineStr">
        <is>
          <t>Not Started</t>
        </is>
      </c>
      <c r="G22" s="24" t="n">
        <v>0.02222222222222222</v>
      </c>
      <c r="H22" s="8" t="inlineStr">
        <is>
          <t>Pending</t>
        </is>
      </c>
      <c r="I22" s="25" t="inlineStr"/>
    </row>
    <row r="23" ht="20" customHeight="1">
      <c r="A23" s="9" t="inlineStr">
        <is>
          <t>Day 19</t>
        </is>
      </c>
      <c r="B23" s="5" t="inlineStr">
        <is>
          <t>Phase 4: Pointers &amp; Arithmetic</t>
        </is>
      </c>
      <c r="C23" s="5" t="inlineStr">
        <is>
          <t>Function Pointers, Callback Systems, and Jump-Tables</t>
        </is>
      </c>
      <c r="D23" s="5" t="inlineStr">
        <is>
          <t>Implement calculator command jump-table eliminating switch logic</t>
        </is>
      </c>
      <c r="E23" s="6" t="inlineStr">
        <is>
          <t>2026-06-25</t>
        </is>
      </c>
      <c r="F23" s="9" t="inlineStr">
        <is>
          <t>Not Started</t>
        </is>
      </c>
      <c r="G23" s="22" t="n">
        <v>0.02222222222222222</v>
      </c>
      <c r="H23" s="6" t="inlineStr">
        <is>
          <t>Pending</t>
        </is>
      </c>
      <c r="I23" s="23" t="inlineStr"/>
    </row>
    <row r="24" ht="20" customHeight="1">
      <c r="A24" s="10" t="inlineStr">
        <is>
          <t>Day 20</t>
        </is>
      </c>
      <c r="B24" s="7" t="inlineStr">
        <is>
          <t>Phase 4: Pointers &amp; Arithmetic</t>
        </is>
      </c>
      <c r="C24" s="7" t="inlineStr">
        <is>
          <t>Raw Pointer Casting, Type Safety, and Alignment Validations</t>
        </is>
      </c>
      <c r="D24" s="7" t="inlineStr">
        <is>
          <t>Design address checks tracking alignment gaps before pointer writes</t>
        </is>
      </c>
      <c r="E24" s="8" t="inlineStr">
        <is>
          <t>2026-06-26</t>
        </is>
      </c>
      <c r="F24" s="10" t="inlineStr">
        <is>
          <t>Not Started</t>
        </is>
      </c>
      <c r="G24" s="24" t="n">
        <v>0.02222222222222222</v>
      </c>
      <c r="H24" s="8" t="inlineStr">
        <is>
          <t>Pending</t>
        </is>
      </c>
      <c r="I24" s="25" t="inlineStr"/>
    </row>
    <row r="25" ht="20" customHeight="1">
      <c r="A25" s="9" t="inlineStr">
        <is>
          <t>Day 21</t>
        </is>
      </c>
      <c r="B25" s="5" t="inlineStr">
        <is>
          <t>Phase 5: Structures &amp; Alignments</t>
        </is>
      </c>
      <c r="C25" s="5" t="inlineStr">
        <is>
          <t>Structure Memory Layouts, Compiler Padding, and Offset Tracing</t>
        </is>
      </c>
      <c r="D25" s="5" t="inlineStr">
        <is>
          <t>Trace struct layout offsets to minimize padding size footprint</t>
        </is>
      </c>
      <c r="E25" s="6" t="inlineStr">
        <is>
          <t>2026-06-29</t>
        </is>
      </c>
      <c r="F25" s="9" t="inlineStr">
        <is>
          <t>Not Started</t>
        </is>
      </c>
      <c r="G25" s="22" t="n">
        <v>0.02222222222222222</v>
      </c>
      <c r="H25" s="6" t="inlineStr">
        <is>
          <t>Pending</t>
        </is>
      </c>
      <c r="I25" s="23" t="inlineStr"/>
    </row>
    <row r="26" ht="20" customHeight="1">
      <c r="A26" s="10" t="inlineStr">
        <is>
          <t>Day 22</t>
        </is>
      </c>
      <c r="B26" s="7" t="inlineStr">
        <is>
          <t>Phase 5: Structures &amp; Alignments</t>
        </is>
      </c>
      <c r="C26" s="7" t="inlineStr">
        <is>
          <t>Packed Structures, Alignment Pragma/Attributes, and Performance Costs</t>
        </is>
      </c>
      <c r="D26" s="7" t="inlineStr">
        <is>
          <t>Analyze normal vs packed structures and assembly operations cost</t>
        </is>
      </c>
      <c r="E26" s="8" t="inlineStr">
        <is>
          <t>2026-06-30</t>
        </is>
      </c>
      <c r="F26" s="10" t="inlineStr">
        <is>
          <t>Not Started</t>
        </is>
      </c>
      <c r="G26" s="24" t="n">
        <v>0.02222222222222222</v>
      </c>
      <c r="H26" s="8" t="inlineStr">
        <is>
          <t>Pending</t>
        </is>
      </c>
      <c r="I26" s="25" t="inlineStr"/>
    </row>
    <row r="27" ht="20" customHeight="1">
      <c r="A27" s="9" t="inlineStr">
        <is>
          <t>Day 23</t>
        </is>
      </c>
      <c r="B27" s="5" t="inlineStr">
        <is>
          <t>Phase 5: Structures &amp; Alignments</t>
        </is>
      </c>
      <c r="C27" s="5" t="inlineStr">
        <is>
          <t>Unions, Type Punning, and Raw Binary Serialization</t>
        </is>
      </c>
      <c r="D27" s="5" t="inlineStr">
        <is>
          <t>Inspect raw floating-point bits and serialize structs in unions</t>
        </is>
      </c>
      <c r="E27" s="6" t="inlineStr">
        <is>
          <t>2026-07-01</t>
        </is>
      </c>
      <c r="F27" s="9" t="inlineStr">
        <is>
          <t>Not Started</t>
        </is>
      </c>
      <c r="G27" s="22" t="n">
        <v>0.02222222222222222</v>
      </c>
      <c r="H27" s="6" t="inlineStr">
        <is>
          <t>Pending</t>
        </is>
      </c>
      <c r="I27" s="23" t="inlineStr"/>
    </row>
    <row r="28" ht="20" customHeight="1">
      <c r="A28" s="10" t="inlineStr">
        <is>
          <t>Day 24</t>
        </is>
      </c>
      <c r="B28" s="7" t="inlineStr">
        <is>
          <t>Phase 5: Structures &amp; Alignments</t>
        </is>
      </c>
      <c r="C28" s="7" t="inlineStr">
        <is>
          <t>Bitfields, Hardware Register Mapping, and Alignments</t>
        </is>
      </c>
      <c r="D28" s="7" t="inlineStr">
        <is>
          <t>Define status register bitfields and audit compile mask calculations</t>
        </is>
      </c>
      <c r="E28" s="8" t="inlineStr">
        <is>
          <t>2026-07-02</t>
        </is>
      </c>
      <c r="F28" s="10" t="inlineStr">
        <is>
          <t>Not Started</t>
        </is>
      </c>
      <c r="G28" s="24" t="n">
        <v>0.02222222222222222</v>
      </c>
      <c r="H28" s="8" t="inlineStr">
        <is>
          <t>Pending</t>
        </is>
      </c>
      <c r="I28" s="25" t="inlineStr"/>
    </row>
    <row r="29" ht="20" customHeight="1">
      <c r="A29" s="9" t="inlineStr">
        <is>
          <t>Day 25</t>
        </is>
      </c>
      <c r="B29" s="5" t="inlineStr">
        <is>
          <t>Phase 5: Structures &amp; Alignments</t>
        </is>
      </c>
      <c r="C29" s="5" t="inlineStr">
        <is>
          <t>Network Serialization, Endianness, and Byte Order Conversion</t>
        </is>
      </c>
      <c r="D29" s="5" t="inlineStr">
        <is>
          <t>Implement byte order serializer converting variables to Big-Endian</t>
        </is>
      </c>
      <c r="E29" s="6" t="inlineStr">
        <is>
          <t>2026-07-03</t>
        </is>
      </c>
      <c r="F29" s="9" t="inlineStr">
        <is>
          <t>Not Started</t>
        </is>
      </c>
      <c r="G29" s="22" t="n">
        <v>0.02222222222222222</v>
      </c>
      <c r="H29" s="6" t="inlineStr">
        <is>
          <t>Pending</t>
        </is>
      </c>
      <c r="I29" s="23" t="inlineStr"/>
    </row>
    <row r="30" ht="20" customHeight="1">
      <c r="A30" s="10" t="inlineStr">
        <is>
          <t>Day 26</t>
        </is>
      </c>
      <c r="B30" s="7" t="inlineStr">
        <is>
          <t>Phase 6: Custom Allocators</t>
        </is>
      </c>
      <c r="C30" s="7" t="inlineStr">
        <is>
          <t>Dynamic Heap Architecture, Fragmentation, and System Boundaries</t>
        </is>
      </c>
      <c r="D30" s="7" t="inlineStr">
        <is>
          <t>Verify heap break address adjustments using sbrk system calls</t>
        </is>
      </c>
      <c r="E30" s="8" t="inlineStr">
        <is>
          <t>2026-07-06</t>
        </is>
      </c>
      <c r="F30" s="10" t="inlineStr">
        <is>
          <t>Not Started</t>
        </is>
      </c>
      <c r="G30" s="24" t="n">
        <v>0.02222222222222222</v>
      </c>
      <c r="H30" s="8" t="inlineStr">
        <is>
          <t>Pending</t>
        </is>
      </c>
      <c r="I30" s="25" t="inlineStr"/>
    </row>
    <row r="31" ht="20" customHeight="1">
      <c r="A31" s="9" t="inlineStr">
        <is>
          <t>Day 27</t>
        </is>
      </c>
      <c r="B31" s="5" t="inlineStr">
        <is>
          <t>Phase 6: Custom Allocators</t>
        </is>
      </c>
      <c r="C31" s="5" t="inlineStr">
        <is>
          <t>Custom Memory Arenas and Alignment Boundaries</t>
        </is>
      </c>
      <c r="D31" s="5" t="inlineStr">
        <is>
          <t>Implement linear aligned arena allocator enforcing 8-byte boundaries</t>
        </is>
      </c>
      <c r="E31" s="6" t="inlineStr">
        <is>
          <t>2026-07-07</t>
        </is>
      </c>
      <c r="F31" s="9" t="inlineStr">
        <is>
          <t>Not Started</t>
        </is>
      </c>
      <c r="G31" s="22" t="n">
        <v>0.02222222222222222</v>
      </c>
      <c r="H31" s="6" t="inlineStr">
        <is>
          <t>Pending</t>
        </is>
      </c>
      <c r="I31" s="23" t="inlineStr"/>
    </row>
    <row r="32" ht="20" customHeight="1">
      <c r="A32" s="10" t="inlineStr">
        <is>
          <t>Day 28</t>
        </is>
      </c>
      <c r="B32" s="7" t="inlineStr">
        <is>
          <t>Phase 6: Custom Allocators</t>
        </is>
      </c>
      <c r="C32" s="7" t="inlineStr">
        <is>
          <t>Fixed-Size Memory Block Pools</t>
        </is>
      </c>
      <c r="D32" s="7" t="inlineStr">
        <is>
          <t>Implement deterministic O(1) free list block pool memory slab allocator</t>
        </is>
      </c>
      <c r="E32" s="8" t="inlineStr">
        <is>
          <t>2026-07-08</t>
        </is>
      </c>
      <c r="F32" s="10" t="inlineStr">
        <is>
          <t>Not Started</t>
        </is>
      </c>
      <c r="G32" s="24" t="n">
        <v>0.02222222222222222</v>
      </c>
      <c r="H32" s="8" t="inlineStr">
        <is>
          <t>Pending</t>
        </is>
      </c>
      <c r="I32" s="25" t="inlineStr"/>
    </row>
    <row r="33" ht="20" customHeight="1">
      <c r="A33" s="9" t="inlineStr">
        <is>
          <t>Day 29</t>
        </is>
      </c>
      <c r="B33" s="5" t="inlineStr">
        <is>
          <t>Phase 6: Custom Allocators</t>
        </is>
      </c>
      <c r="C33" s="5" t="inlineStr">
        <is>
          <t>Dynamic Free Lists, Block Splitting, and Coalescing</t>
        </is>
      </c>
      <c r="D33" s="5" t="inlineStr">
        <is>
          <t>Design first-fit block coalescing merging neighboring free headers</t>
        </is>
      </c>
      <c r="E33" s="6" t="inlineStr">
        <is>
          <t>2026-07-09</t>
        </is>
      </c>
      <c r="F33" s="9" t="inlineStr">
        <is>
          <t>Not Started</t>
        </is>
      </c>
      <c r="G33" s="22" t="n">
        <v>0.02222222222222222</v>
      </c>
      <c r="H33" s="6" t="inlineStr">
        <is>
          <t>Pending</t>
        </is>
      </c>
      <c r="I33" s="23" t="inlineStr"/>
    </row>
    <row r="34" ht="20" customHeight="1">
      <c r="A34" s="10" t="inlineStr">
        <is>
          <t>Day 30</t>
        </is>
      </c>
      <c r="B34" s="7" t="inlineStr">
        <is>
          <t>Phase 6: Custom Allocators</t>
        </is>
      </c>
      <c r="C34" s="7" t="inlineStr">
        <is>
          <t>Memory Leaks Audits and Dynamic Wrapper Sentinels</t>
        </is>
      </c>
      <c r="D34" s="7" t="inlineStr">
        <is>
          <t>Implement custom malloc/free wrapper tracking allocations leaks context</t>
        </is>
      </c>
      <c r="E34" s="8" t="inlineStr">
        <is>
          <t>2026-07-10</t>
        </is>
      </c>
      <c r="F34" s="10" t="inlineStr">
        <is>
          <t>Not Started</t>
        </is>
      </c>
      <c r="G34" s="24" t="n">
        <v>0.02222222222222222</v>
      </c>
      <c r="H34" s="8" t="inlineStr">
        <is>
          <t>Pending</t>
        </is>
      </c>
      <c r="I34" s="25" t="inlineStr"/>
    </row>
    <row r="35" ht="20" customHeight="1">
      <c r="A35" s="9" t="inlineStr">
        <is>
          <t>Day 31</t>
        </is>
      </c>
      <c r="B35" s="5" t="inlineStr">
        <is>
          <t>Phase 7: POSIX System Boundaries</t>
        </is>
      </c>
      <c r="C35" s="5" t="inlineStr">
        <is>
          <t>System Call Boundaries and Unbuffered POSIX I/O</t>
        </is>
      </c>
      <c r="D35" s="5" t="inlineStr">
        <is>
          <t>Write unbuffered file copier using open/read/write system calls</t>
        </is>
      </c>
      <c r="E35" s="6" t="inlineStr">
        <is>
          <t>2026-07-13</t>
        </is>
      </c>
      <c r="F35" s="9" t="inlineStr">
        <is>
          <t>Not Started</t>
        </is>
      </c>
      <c r="G35" s="22" t="n">
        <v>0.02222222222222222</v>
      </c>
      <c r="H35" s="6" t="inlineStr">
        <is>
          <t>Pending</t>
        </is>
      </c>
      <c r="I35" s="23" t="inlineStr"/>
    </row>
    <row r="36" ht="20" customHeight="1">
      <c r="A36" s="10" t="inlineStr">
        <is>
          <t>Day 32</t>
        </is>
      </c>
      <c r="B36" s="7" t="inlineStr">
        <is>
          <t>Phase 7: POSIX System Boundaries</t>
        </is>
      </c>
      <c r="C36" s="7" t="inlineStr">
        <is>
          <t>Asynchronous I/O, Non-Blocking Descriptors, and Streaming</t>
        </is>
      </c>
      <c r="D36" s="7" t="inlineStr">
        <is>
          <t>Configure pipe descriptors in O_NONBLOCK mode handling EAGAIN</t>
        </is>
      </c>
      <c r="E36" s="8" t="inlineStr">
        <is>
          <t>2026-07-14</t>
        </is>
      </c>
      <c r="F36" s="10" t="inlineStr">
        <is>
          <t>Not Started</t>
        </is>
      </c>
      <c r="G36" s="24" t="n">
        <v>0.02222222222222222</v>
      </c>
      <c r="H36" s="8" t="inlineStr">
        <is>
          <t>Pending</t>
        </is>
      </c>
      <c r="I36" s="25" t="inlineStr"/>
    </row>
    <row r="37" ht="20" customHeight="1">
      <c r="A37" s="9" t="inlineStr">
        <is>
          <t>Day 33</t>
        </is>
      </c>
      <c r="B37" s="5" t="inlineStr">
        <is>
          <t>Phase 7: POSIX System Boundaries</t>
        </is>
      </c>
      <c r="C37" s="5" t="inlineStr">
        <is>
          <t>Memory-Mapped Files (mmap) and Zero-Copy I/O</t>
        </is>
      </c>
      <c r="D37" s="5" t="inlineStr">
        <is>
          <t>Write database binary indexing editor using shared mmap maps</t>
        </is>
      </c>
      <c r="E37" s="6" t="inlineStr">
        <is>
          <t>2026-07-15</t>
        </is>
      </c>
      <c r="F37" s="9" t="inlineStr">
        <is>
          <t>Not Started</t>
        </is>
      </c>
      <c r="G37" s="22" t="n">
        <v>0.02222222222222222</v>
      </c>
      <c r="H37" s="6" t="inlineStr">
        <is>
          <t>Pending</t>
        </is>
      </c>
      <c r="I37" s="23" t="inlineStr"/>
    </row>
    <row r="38" ht="20" customHeight="1">
      <c r="A38" s="10" t="inlineStr">
        <is>
          <t>Day 34</t>
        </is>
      </c>
      <c r="B38" s="7" t="inlineStr">
        <is>
          <t>Phase 7: POSIX System Boundaries</t>
        </is>
      </c>
      <c r="C38" s="7" t="inlineStr">
        <is>
          <t>System Error Handling, Thread-Safe errno, and Recovery</t>
        </is>
      </c>
      <c r="D38" s="7" t="inlineStr">
        <is>
          <t>Implement thread-safe strerror_r system error logger</t>
        </is>
      </c>
      <c r="E38" s="8" t="inlineStr">
        <is>
          <t>2026-07-16</t>
        </is>
      </c>
      <c r="F38" s="10" t="inlineStr">
        <is>
          <t>Not Started</t>
        </is>
      </c>
      <c r="G38" s="24" t="n">
        <v>0.02222222222222222</v>
      </c>
      <c r="H38" s="8" t="inlineStr">
        <is>
          <t>Pending</t>
        </is>
      </c>
      <c r="I38" s="25" t="inlineStr"/>
    </row>
    <row r="39" ht="20" customHeight="1">
      <c r="A39" s="9" t="inlineStr">
        <is>
          <t>Day 35</t>
        </is>
      </c>
      <c r="B39" s="5" t="inlineStr">
        <is>
          <t>Phase 7: POSIX System Boundaries</t>
        </is>
      </c>
      <c r="C39" s="5" t="inlineStr">
        <is>
          <t>Inter-Process Communication (IPC) and Shared Memory</t>
        </is>
      </c>
      <c r="D39" s="5" t="inlineStr">
        <is>
          <t>Implement telemetry sender and receiver using POSIX shared memory</t>
        </is>
      </c>
      <c r="E39" s="6" t="inlineStr">
        <is>
          <t>2026-07-17</t>
        </is>
      </c>
      <c r="F39" s="9" t="inlineStr">
        <is>
          <t>Not Started</t>
        </is>
      </c>
      <c r="G39" s="22" t="n">
        <v>0.02222222222222222</v>
      </c>
      <c r="H39" s="6" t="inlineStr">
        <is>
          <t>Pending</t>
        </is>
      </c>
      <c r="I39" s="23" t="inlineStr"/>
    </row>
    <row r="40" ht="20" customHeight="1">
      <c r="A40" s="10" t="inlineStr">
        <is>
          <t>Day 36</t>
        </is>
      </c>
      <c r="B40" s="7" t="inlineStr">
        <is>
          <t>Phase 8: Preprocessor Metaprogramming</t>
        </is>
      </c>
      <c r="C40" s="7" t="inlineStr">
        <is>
          <t>Preprocessor Extensions, Token Concatenation, and Stringification</t>
        </is>
      </c>
      <c r="D40" s="7" t="inlineStr">
        <is>
          <t>Write dynamic variable builder and string logger macros</t>
        </is>
      </c>
      <c r="E40" s="8" t="inlineStr">
        <is>
          <t>2026-07-20</t>
        </is>
      </c>
      <c r="F40" s="10" t="inlineStr">
        <is>
          <t>Not Started</t>
        </is>
      </c>
      <c r="G40" s="24" t="n">
        <v>0.02222222222222222</v>
      </c>
      <c r="H40" s="8" t="inlineStr">
        <is>
          <t>Pending</t>
        </is>
      </c>
      <c r="I40" s="25" t="inlineStr"/>
    </row>
    <row r="41" ht="20" customHeight="1">
      <c r="A41" s="9" t="inlineStr">
        <is>
          <t>Day 37</t>
        </is>
      </c>
      <c r="B41" s="5" t="inlineStr">
        <is>
          <t>Phase 8: Preprocessor Metaprogramming</t>
        </is>
      </c>
      <c r="C41" s="5" t="inlineStr">
        <is>
          <t>Multi-Line Macros Safety and do-while wrappers</t>
        </is>
      </c>
      <c r="D41" s="5" t="inlineStr">
        <is>
          <t>Wrap macro operations in do-while structures to pass conditional parses</t>
        </is>
      </c>
      <c r="E41" s="6" t="inlineStr">
        <is>
          <t>2026-07-21</t>
        </is>
      </c>
      <c r="F41" s="9" t="inlineStr">
        <is>
          <t>Not Started</t>
        </is>
      </c>
      <c r="G41" s="22" t="n">
        <v>0.02222222222222222</v>
      </c>
      <c r="H41" s="6" t="inlineStr">
        <is>
          <t>Pending</t>
        </is>
      </c>
      <c r="I41" s="23" t="inlineStr"/>
    </row>
    <row r="42" ht="20" customHeight="1">
      <c r="A42" s="10" t="inlineStr">
        <is>
          <t>Day 38</t>
        </is>
      </c>
      <c r="B42" s="7" t="inlineStr">
        <is>
          <t>Phase 8: Preprocessor Metaprogramming</t>
        </is>
      </c>
      <c r="C42" s="7" t="inlineStr">
        <is>
          <t>X-Macros Code Generation and Dynamic Lookups</t>
        </is>
      </c>
      <c r="D42" s="7" t="inlineStr">
        <is>
          <t>Generate enum declarations and lookup strings from central X-Macro list</t>
        </is>
      </c>
      <c r="E42" s="8" t="inlineStr">
        <is>
          <t>2026-07-22</t>
        </is>
      </c>
      <c r="F42" s="10" t="inlineStr">
        <is>
          <t>Not Started</t>
        </is>
      </c>
      <c r="G42" s="24" t="n">
        <v>0.02222222222222222</v>
      </c>
      <c r="H42" s="8" t="inlineStr">
        <is>
          <t>Pending</t>
        </is>
      </c>
      <c r="I42" s="25" t="inlineStr"/>
    </row>
    <row r="43" ht="20" customHeight="1">
      <c r="A43" s="9" t="inlineStr">
        <is>
          <t>Day 39</t>
        </is>
      </c>
      <c r="B43" s="5" t="inlineStr">
        <is>
          <t>Phase 8: Preprocessor Metaprogramming</t>
        </is>
      </c>
      <c r="C43" s="5" t="inlineStr">
        <is>
          <t>Variadic Macros and C11 _Generic Type Selections</t>
        </is>
      </c>
      <c r="D43" s="5" t="inlineStr">
        <is>
          <t>Design generic abs macros routing floats/ints at compile-time</t>
        </is>
      </c>
      <c r="E43" s="6" t="inlineStr">
        <is>
          <t>2026-07-23</t>
        </is>
      </c>
      <c r="F43" s="9" t="inlineStr">
        <is>
          <t>Not Started</t>
        </is>
      </c>
      <c r="G43" s="22" t="n">
        <v>0.02222222222222222</v>
      </c>
      <c r="H43" s="6" t="inlineStr">
        <is>
          <t>Pending</t>
        </is>
      </c>
      <c r="I43" s="23" t="inlineStr"/>
    </row>
    <row r="44" ht="20" customHeight="1">
      <c r="A44" s="10" t="inlineStr">
        <is>
          <t>Day 40</t>
        </is>
      </c>
      <c r="B44" s="7" t="inlineStr">
        <is>
          <t>Phase 8: Preprocessor Metaprogramming</t>
        </is>
      </c>
      <c r="C44" s="7" t="inlineStr">
        <is>
          <t>Include Guards, Conditional Compilations, and Assertions</t>
        </is>
      </c>
      <c r="D44" s="7" t="inlineStr">
        <is>
          <t>Enforce compile-time data sizes constraints using C11 _Static_assert</t>
        </is>
      </c>
      <c r="E44" s="8" t="inlineStr">
        <is>
          <t>2026-07-24</t>
        </is>
      </c>
      <c r="F44" s="10" t="inlineStr">
        <is>
          <t>Not Started</t>
        </is>
      </c>
      <c r="G44" s="24" t="n">
        <v>0.02222222222222222</v>
      </c>
      <c r="H44" s="8" t="inlineStr">
        <is>
          <t>Pending</t>
        </is>
      </c>
      <c r="I44" s="25" t="inlineStr"/>
    </row>
    <row r="45" ht="20" customHeight="1">
      <c r="A45" s="9" t="inlineStr">
        <is>
          <t>Day 41</t>
        </is>
      </c>
      <c r="B45" s="5" t="inlineStr">
        <is>
          <t>Phase 9: Concurrency &amp; MISRA C</t>
        </is>
      </c>
      <c r="C45" s="5" t="inlineStr">
        <is>
          <t>POSIX Threads (pthreads) Creation, Joins, and Configurations</t>
        </is>
      </c>
      <c r="D45" s="5" t="inlineStr">
        <is>
          <t>Spawn 4 worker pthreads executing concurrent jobs passing exits</t>
        </is>
      </c>
      <c r="E45" s="6" t="inlineStr">
        <is>
          <t>2026-07-27</t>
        </is>
      </c>
      <c r="F45" s="9" t="inlineStr">
        <is>
          <t>Not Started</t>
        </is>
      </c>
      <c r="G45" s="22" t="n">
        <v>0.02222222222222222</v>
      </c>
      <c r="H45" s="6" t="inlineStr">
        <is>
          <t>Pending</t>
        </is>
      </c>
      <c r="I45" s="23" t="inlineStr"/>
    </row>
    <row r="46" ht="20" customHeight="1">
      <c r="A46" s="10" t="inlineStr">
        <is>
          <t>Day 42</t>
        </is>
      </c>
      <c r="B46" s="7" t="inlineStr">
        <is>
          <t>Phase 9: Concurrency &amp; MISRA C</t>
        </is>
      </c>
      <c r="C46" s="7" t="inlineStr">
        <is>
          <t>Race Conditions, Mutex Locks, and Deadlock Avoidance</t>
        </is>
      </c>
      <c r="D46" s="7" t="inlineStr">
        <is>
          <t>Audit counter racing under Helgrind and lock access using mutexes</t>
        </is>
      </c>
      <c r="E46" s="8" t="inlineStr">
        <is>
          <t>2026-07-28</t>
        </is>
      </c>
      <c r="F46" s="10" t="inlineStr">
        <is>
          <t>Not Started</t>
        </is>
      </c>
      <c r="G46" s="24" t="n">
        <v>0.02222222222222222</v>
      </c>
      <c r="H46" s="8" t="inlineStr">
        <is>
          <t>Pending</t>
        </is>
      </c>
      <c r="I46" s="25" t="inlineStr"/>
    </row>
    <row r="47" ht="20" customHeight="1">
      <c r="A47" s="9" t="inlineStr">
        <is>
          <t>Day 43</t>
        </is>
      </c>
      <c r="B47" s="5" t="inlineStr">
        <is>
          <t>Phase 9: Concurrency &amp; MISRA C</t>
        </is>
      </c>
      <c r="C47" s="5" t="inlineStr">
        <is>
          <t>Condition Variables and Producer-Consumer Buffers</t>
        </is>
      </c>
      <c r="D47" s="5" t="inlineStr">
        <is>
          <t>Coordinate Producer-Consumer ring buffer utilizing pthreads cond variables</t>
        </is>
      </c>
      <c r="E47" s="6" t="inlineStr">
        <is>
          <t>2026-07-29</t>
        </is>
      </c>
      <c r="F47" s="9" t="inlineStr">
        <is>
          <t>Not Started</t>
        </is>
      </c>
      <c r="G47" s="22" t="n">
        <v>0.02222222222222222</v>
      </c>
      <c r="H47" s="6" t="inlineStr">
        <is>
          <t>Pending</t>
        </is>
      </c>
      <c r="I47" s="23" t="inlineStr"/>
    </row>
    <row r="48" ht="20" customHeight="1">
      <c r="A48" s="10" t="inlineStr">
        <is>
          <t>Day 44</t>
        </is>
      </c>
      <c r="B48" s="7" t="inlineStr">
        <is>
          <t>Phase 9: Concurrency &amp; MISRA C</t>
        </is>
      </c>
      <c r="C48" s="7" t="inlineStr">
        <is>
          <t>MISRA C:2012 Guidelines and Critical Safety Constraints</t>
        </is>
      </c>
      <c r="D48" s="7" t="inlineStr">
        <is>
          <t>Refactor raw pointer operations to conform to safe MISRA rules</t>
        </is>
      </c>
      <c r="E48" s="8" t="inlineStr">
        <is>
          <t>2026-07-30</t>
        </is>
      </c>
      <c r="F48" s="10" t="inlineStr">
        <is>
          <t>Not Started</t>
        </is>
      </c>
      <c r="G48" s="24" t="n">
        <v>0.02222222222222222</v>
      </c>
      <c r="H48" s="8" t="inlineStr">
        <is>
          <t>Pending</t>
        </is>
      </c>
      <c r="I48" s="25" t="inlineStr"/>
    </row>
    <row r="49" ht="20" customHeight="1">
      <c r="A49" s="9" t="inlineStr">
        <is>
          <t>Day 45</t>
        </is>
      </c>
      <c r="B49" s="5" t="inlineStr">
        <is>
          <t>Phase 9: Concurrency &amp; MISRA C</t>
        </is>
      </c>
      <c r="C49" s="5" t="inlineStr">
        <is>
          <t>Systems Profiling, Leak Audits, and Graduate Code Review</t>
        </is>
      </c>
      <c r="D49" s="5" t="inlineStr">
        <is>
          <t>Trace execution performance using gprof and debug leaks with Valgrind</t>
        </is>
      </c>
      <c r="E49" s="6" t="inlineStr">
        <is>
          <t>2026-07-31</t>
        </is>
      </c>
      <c r="F49" s="9" t="inlineStr">
        <is>
          <t>Not Started</t>
        </is>
      </c>
      <c r="G49" s="22" t="n">
        <v>0.02222222222222222</v>
      </c>
      <c r="H49" s="6" t="inlineStr">
        <is>
          <t>Pending</t>
        </is>
      </c>
      <c r="I49" s="23" t="inlineStr"/>
    </row>
  </sheetData>
  <mergeCells count="1">
    <mergeCell ref="A1:I2"/>
  </mergeCells>
  <conditionalFormatting sqref="F5:F49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dataValidations count="2">
    <dataValidation sqref="F5:F49" showDropDown="0" showInputMessage="0" showErrorMessage="0" allowBlank="1" type="list">
      <formula1>"Not Started,In Progress,Completed"</formula1>
    </dataValidation>
    <dataValidation sqref="H5:H49" showDropDown="0" showInputMessage="0" showErrorMessage="0" allowBlank="1" type="list">
      <formula1>"Pending,A+ [100%],A [90%],B [80%],C [70%],F [Fail]"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2026-05-30T05:30:54Z</dcterms:created>
  <dcterms:modified xmlns:dcterms="http://purl.org/dc/terms/" xmlns:xsi="http://www.w3.org/2001/XMLSchema-instance" xsi:type="dcterms:W3CDTF">2026-05-30T05:44:52Z</dcterms:modified>
</cp:coreProperties>
</file>