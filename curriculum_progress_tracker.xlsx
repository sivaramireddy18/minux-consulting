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aching Dashboard" sheetId="1" state="visible" r:id="rId1"/>
    <sheet xmlns:r="http://schemas.openxmlformats.org/officeDocument/2006/relationships" name="Embedded &amp; Linux" sheetId="2" state="visible" r:id="rId2"/>
    <sheet xmlns:r="http://schemas.openxmlformats.org/officeDocument/2006/relationships" name="C Systems Programming" sheetId="3" state="visible" r:id="rId3"/>
    <sheet xmlns:r="http://schemas.openxmlformats.org/officeDocument/2006/relationships" name="Python Automation" sheetId="4" state="visible" r:id="rId4"/>
    <sheet xmlns:r="http://schemas.openxmlformats.org/officeDocument/2006/relationships" name="Coaching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9.5"/>
    </font>
    <font>
      <name val="Segoe UI"/>
      <color rgb="00334155"/>
      <sz val="9.5"/>
    </font>
    <font>
      <name val="Segoe UI"/>
      <b val="1"/>
      <color rgb="001E293B"/>
      <sz val="9.5"/>
    </font>
    <font>
      <name val="Segoe UI"/>
      <b val="1"/>
      <color rgb="000F172A"/>
      <sz val="16"/>
    </font>
    <font>
      <name val="Segoe UI"/>
      <b val="1"/>
      <color rgb="001E293B"/>
      <sz val="11"/>
    </font>
    <font>
      <name val="Segoe UI"/>
      <b val="1"/>
      <color rgb="00475569"/>
      <sz val="9"/>
    </font>
    <font>
      <name val="Segoe UI"/>
      <b val="1"/>
      <color rgb="000F172A"/>
      <sz val="9.5"/>
    </font>
    <font>
      <name val="Segoe UI"/>
      <b val="1"/>
      <color rgb="0064748B"/>
      <sz val="8"/>
    </font>
    <font>
      <name val="Segoe UI"/>
      <b val="1"/>
      <color rgb="001E3A8A"/>
      <sz val="18"/>
    </font>
  </fonts>
  <fills count="9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C2410C"/>
        <bgColor rgb="00C2410C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0F9FF"/>
        <bgColor rgb="00F0F9FF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medium">
        <color rgb="001E3A8A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8" fillId="8" borderId="6" applyAlignment="1" pivotButton="0" quotePrefix="0" xfId="0">
      <alignment horizontal="center" vertical="center" wrapText="1"/>
    </xf>
    <xf numFmtId="164" fontId="9" fillId="8" borderId="6" applyAlignment="1" pivotButton="0" quotePrefix="0" xfId="0">
      <alignment horizontal="center" vertical="center" wrapText="1"/>
    </xf>
    <xf numFmtId="165" fontId="9" fillId="8" borderId="6" applyAlignment="1" pivotButton="0" quotePrefix="0" xfId="0">
      <alignment horizontal="center" vertical="center" wrapText="1"/>
    </xf>
    <xf numFmtId="1" fontId="9" fillId="8" borderId="6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right" vertical="center"/>
    </xf>
    <xf numFmtId="0" fontId="4" fillId="6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4">
    <dxf>
      <font>
        <name val="Segoe UI"/>
        <b val="1"/>
        <color rgb="00991B1B"/>
        <sz val="9.5"/>
      </font>
      <fill>
        <patternFill patternType="solid">
          <fgColor rgb="00FEE2E2"/>
          <bgColor rgb="00FEE2E2"/>
        </patternFill>
      </fill>
    </dxf>
    <dxf>
      <font>
        <name val="Segoe UI"/>
        <b val="1"/>
        <color rgb="00166534"/>
        <sz val="9.5"/>
      </font>
      <fill>
        <patternFill patternType="solid">
          <fgColor rgb="00DCFCE7"/>
          <bgColor rgb="00DCFCE7"/>
        </patternFill>
      </fill>
    </dxf>
    <dxf>
      <font>
        <name val="Segoe UI"/>
        <b val="1"/>
        <color rgb="00854D0E"/>
        <sz val="9.5"/>
      </font>
      <fill>
        <patternFill patternType="solid">
          <fgColor rgb="00FEF9C3"/>
          <bgColor rgb="00FEF9C3"/>
        </patternFill>
      </fill>
    </dxf>
    <dxf>
      <font>
        <name val="Segoe UI"/>
        <b val="1"/>
        <color rgb="00475569"/>
        <sz val="9.5"/>
      </font>
      <fill>
        <patternFill patternType="solid">
          <fgColor rgb="00F1F5F9"/>
          <b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38" customWidth="1" min="5" max="5"/>
    <col width="207" customWidth="1" min="6" max="6"/>
    <col width="12" customWidth="1" min="7" max="7"/>
  </cols>
  <sheetData>
    <row r="1"/>
    <row r="2"/>
    <row r="3"/>
    <row r="4">
      <c r="A4" s="1" t="inlineStr">
        <is>
          <t>STUDENT PROFILE &amp; GLOBAL ALERTS</t>
        </is>
      </c>
    </row>
    <row r="5" ht="20" customHeight="1">
      <c r="A5" s="2" t="inlineStr">
        <is>
          <t>Student Name:</t>
        </is>
      </c>
      <c r="B5" s="3" t="inlineStr">
        <is>
          <t>Sivaramireddy</t>
        </is>
      </c>
      <c r="C5" s="2" t="inlineStr">
        <is>
          <t>Start Date:</t>
        </is>
      </c>
      <c r="D5" s="3" t="inlineStr">
        <is>
          <t>2026-06-01</t>
        </is>
      </c>
      <c r="E5" s="2" t="inlineStr">
        <is>
          <t>Global Alert Status:</t>
        </is>
      </c>
      <c r="F5" s="3">
        <f>IF(OR(COUNTIF('Embedded &amp; Linux'!F5:F40, "Fail")&gt;0, COUNTIF('C Systems Programming'!F5:F16, "Fail")&gt;0, COUNTIF('Python Automation'!F5:F16, "Fail")&gt;0), "CRITICAL: Fail Grade Alert", "Nominal - On Track")</f>
        <v/>
      </c>
    </row>
    <row r="6" ht="20" customHeight="1">
      <c r="A6" s="2" t="inlineStr">
        <is>
          <t>Assigned Mentor:</t>
        </is>
      </c>
      <c r="B6" s="3" t="inlineStr">
        <is>
          <t>Senior Systems Coach</t>
        </is>
      </c>
      <c r="C6" s="2" t="inlineStr">
        <is>
          <t>Program Status:</t>
        </is>
      </c>
      <c r="D6" s="3" t="inlineStr">
        <is>
          <t>Active Learning</t>
        </is>
      </c>
      <c r="E6" s="2" t="inlineStr">
        <is>
          <t>Total Active Tracks:</t>
        </is>
      </c>
      <c r="F6" s="3" t="inlineStr">
        <is>
          <t>3 Active Tracks</t>
        </is>
      </c>
    </row>
    <row r="7"/>
    <row r="8">
      <c r="A8" s="1" t="inlineStr">
        <is>
          <t>TRI-DISCIPLINE PERFORMANCE TRACKING WIDGETS</t>
        </is>
      </c>
    </row>
    <row r="9" ht="16" customHeight="1">
      <c r="A9" s="4" t="inlineStr">
        <is>
          <t>Track 1: Embedded Systems</t>
        </is>
      </c>
      <c r="B9" s="5" t="inlineStr">
        <is>
          <t>COMPLETION %</t>
        </is>
      </c>
      <c r="C9" s="5" t="inlineStr">
        <is>
          <t>AVG TECH SCORE</t>
        </is>
      </c>
      <c r="D9" s="5" t="inlineStr">
        <is>
          <t>GIT HYGIENE (1-5)</t>
        </is>
      </c>
      <c r="E9" s="5" t="inlineStr">
        <is>
          <t>SAFETY CHECK (1-5)</t>
        </is>
      </c>
    </row>
    <row r="10" ht="24" customHeight="1">
      <c r="B10" s="6">
        <f>COUNTIF('Embedded &amp; Linux'!D5:D40, "Completed")/36</f>
        <v/>
      </c>
      <c r="C10" s="7">
        <f>AVERAGE('Embedded &amp; Linux'!E5:E40)</f>
        <v/>
      </c>
      <c r="D10" s="7">
        <f>AVERAGE('Embedded &amp; Linux'!G5:G40)</f>
        <v/>
      </c>
      <c r="E10" s="7">
        <f>AVERAGE('Embedded &amp; Linux'!H5:H40)</f>
        <v/>
      </c>
    </row>
    <row r="11"/>
    <row r="12" ht="16" customHeight="1">
      <c r="A12" s="4" t="inlineStr">
        <is>
          <t>Track 2: C Programming</t>
        </is>
      </c>
      <c r="B12" s="5" t="inlineStr">
        <is>
          <t>COMPLETION %</t>
        </is>
      </c>
      <c r="C12" s="5" t="inlineStr">
        <is>
          <t>AVG TECH SCORE</t>
        </is>
      </c>
      <c r="D12" s="5" t="inlineStr">
        <is>
          <t>STATIC ERRORS (AVG)</t>
        </is>
      </c>
      <c r="E12" s="5" t="inlineStr">
        <is>
          <t>GDB SCORE (1-5)</t>
        </is>
      </c>
    </row>
    <row r="13" ht="24" customHeight="1">
      <c r="B13" s="6">
        <f>COUNTIF('C Systems Programming'!D5:D16, "Completed")/12</f>
        <v/>
      </c>
      <c r="C13" s="7">
        <f>AVERAGE('C Systems Programming'!E5:E16)</f>
        <v/>
      </c>
      <c r="D13" s="8">
        <f>AVERAGE('C Systems Programming'!G5:G16)</f>
        <v/>
      </c>
      <c r="E13" s="7">
        <f>AVERAGE('C Systems Programming'!H5:H16)</f>
        <v/>
      </c>
    </row>
    <row r="14"/>
    <row r="15" ht="16" customHeight="1">
      <c r="A15" s="4" t="inlineStr">
        <is>
          <t>Track 3: Python HIL</t>
        </is>
      </c>
      <c r="B15" s="5" t="inlineStr">
        <is>
          <t>COMPLETION %</t>
        </is>
      </c>
      <c r="C15" s="5" t="inlineStr">
        <is>
          <t>AVG TECH SCORE</t>
        </is>
      </c>
      <c r="D15" s="5" t="inlineStr">
        <is>
          <t>HIL TEST COVERAGE %</t>
        </is>
      </c>
      <c r="E15" s="5" t="inlineStr">
        <is>
          <t>CONCURRENCY (PASS RATE)</t>
        </is>
      </c>
    </row>
    <row r="16" ht="24" customHeight="1">
      <c r="B16" s="6">
        <f>COUNTIF('Python Automation'!D5:D16, "Completed")/12</f>
        <v/>
      </c>
      <c r="C16" s="7">
        <f>AVERAGE('Python Automation'!E5:E16)</f>
        <v/>
      </c>
      <c r="D16" s="6">
        <f>AVERAGE('Python Automation'!G5:G16)</f>
        <v/>
      </c>
      <c r="E16" s="6">
        <f>COUNTIF('Python Automation'!H5:H16, "Pass")/12</f>
        <v/>
      </c>
    </row>
    <row r="17"/>
    <row r="18">
      <c r="A18" s="1" t="inlineStr">
        <is>
          <t>CONSOLIDATED CURRICULUM SYNOPSIS</t>
        </is>
      </c>
    </row>
    <row r="19" ht="24" customHeight="1">
      <c r="A19" s="9" t="inlineStr">
        <is>
          <t>Training Discipline Track</t>
        </is>
      </c>
      <c r="B19" s="9" t="inlineStr">
        <is>
          <t>Syllabus Size</t>
        </is>
      </c>
      <c r="C19" s="9" t="inlineStr">
        <is>
          <t>Active Progress Status</t>
        </is>
      </c>
      <c r="D19" s="9" t="inlineStr">
        <is>
          <t>Calculated Track Score</t>
        </is>
      </c>
      <c r="E19" s="9" t="inlineStr">
        <is>
          <t>Current Graduation Gate Target</t>
        </is>
      </c>
    </row>
    <row r="20" ht="20" customHeight="1">
      <c r="A20" s="10" t="inlineStr">
        <is>
          <t>Track 1: Embedded Systems &amp; Linux</t>
        </is>
      </c>
      <c r="B20" s="11" t="inlineStr">
        <is>
          <t>36 Weeks</t>
        </is>
      </c>
      <c r="C20" s="11">
        <f>IF(B10=1, "Completed", "Active")</f>
        <v/>
      </c>
      <c r="D20" s="12">
        <f>AVERAGE('Embedded &amp; Linux'!E5:E40)</f>
        <v/>
      </c>
      <c r="E20" s="10" t="inlineStr">
        <is>
          <t>Capstone IIoT Gateway integration</t>
        </is>
      </c>
    </row>
    <row r="21" ht="20" customHeight="1">
      <c r="A21" s="13" t="inlineStr">
        <is>
          <t>Track 2: Professional C Programming</t>
        </is>
      </c>
      <c r="B21" s="14" t="inlineStr">
        <is>
          <t>12 Weeks</t>
        </is>
      </c>
      <c r="C21" s="14">
        <f>IF(B13=1, "Completed", "Active")</f>
        <v/>
      </c>
      <c r="D21" s="15">
        <f>AVERAGE('C Systems Programming'!E5:E16)</f>
        <v/>
      </c>
      <c r="E21" s="13" t="inlineStr">
        <is>
          <t>Thread-Safe Systems Shell</t>
        </is>
      </c>
    </row>
    <row r="22" ht="20" customHeight="1">
      <c r="A22" s="10" t="inlineStr">
        <is>
          <t>Track 3: Python Automation Frameworks</t>
        </is>
      </c>
      <c r="B22" s="11" t="inlineStr">
        <is>
          <t>12 Weeks</t>
        </is>
      </c>
      <c r="C22" s="11">
        <f>IF(B16=1, "Completed", "Active")</f>
        <v/>
      </c>
      <c r="D22" s="12">
        <f>AVERAGE('Python Automation'!E5:E16)</f>
        <v/>
      </c>
      <c r="E22" s="10" t="inlineStr">
        <is>
          <t>Enterprise HIL Framework Build</t>
        </is>
      </c>
    </row>
    <row r="23"/>
    <row r="24" ht="20" customHeight="1">
      <c r="A24" s="1" t="inlineStr">
        <is>
          <t>COACH'S INTERVENTION PLAN &amp; STRATEGIC ACTION LOG</t>
        </is>
      </c>
    </row>
    <row r="25" ht="22" customHeight="1">
      <c r="A25" s="16" t="inlineStr">
        <is>
          <t>Active Blockages &amp; Mentor Directive Actions</t>
        </is>
      </c>
    </row>
    <row r="26" ht="20" customHeight="1">
      <c r="A26" s="10" t="inlineStr">
        <is>
          <t>Sivaramireddy is executing exceptionally. Embedded Weeks 1-2 and C/Python Week 1 are in progress. Focus on making sure compiler flags are completely mastered this week. Ensure Mypy strict checks pass without 'Any' type bypasses inside the Python scripts.</t>
        </is>
      </c>
    </row>
    <row r="27" ht="20" customHeight="1"/>
  </sheetData>
  <mergeCells count="26">
    <mergeCell ref="D12"/>
    <mergeCell ref="B9"/>
    <mergeCell ref="D9"/>
    <mergeCell ref="B15"/>
    <mergeCell ref="D15"/>
    <mergeCell ref="E16"/>
    <mergeCell ref="C13"/>
    <mergeCell ref="E12"/>
    <mergeCell ref="C15"/>
    <mergeCell ref="B16"/>
    <mergeCell ref="D10"/>
    <mergeCell ref="A26:G27"/>
    <mergeCell ref="B12"/>
    <mergeCell ref="C10"/>
    <mergeCell ref="C16"/>
    <mergeCell ref="E10"/>
    <mergeCell ref="A25:G25"/>
    <mergeCell ref="D13"/>
    <mergeCell ref="E13"/>
    <mergeCell ref="C9"/>
    <mergeCell ref="E9"/>
    <mergeCell ref="B13"/>
    <mergeCell ref="C12"/>
    <mergeCell ref="E15"/>
    <mergeCell ref="D16"/>
    <mergeCell ref="B10"/>
  </mergeCells>
  <conditionalFormatting sqref="F5">
    <cfRule type="cellIs" priority="1" operator="equal" dxfId="0">
      <formula>"CRITICAL: Fail Grade Alert"</formula>
    </cfRule>
    <cfRule type="cellIs" priority="2" operator="equal" dxfId="1">
      <formula>"Nominal - On Track"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1" customWidth="1" min="3" max="3"/>
    <col width="15" customWidth="1" min="4" max="4"/>
    <col width="26" customWidth="1" min="5" max="5"/>
    <col width="18" customWidth="1" min="6" max="6"/>
    <col width="21" customWidth="1" min="7" max="7"/>
    <col width="25" customWidth="1" min="8" max="8"/>
    <col width="60" customWidth="1" min="9" max="9"/>
  </cols>
  <sheetData>
    <row r="1">
      <c r="A1" s="17" t="inlineStr">
        <is>
          <t>EMBEDDED SYSTEMS &amp; LINUX PROGRESS TRACKER</t>
        </is>
      </c>
    </row>
    <row r="2"/>
    <row r="3"/>
    <row r="4" ht="28" customHeight="1">
      <c r="A4" s="18" t="inlineStr">
        <is>
          <t>Week</t>
        </is>
      </c>
      <c r="B4" s="18" t="inlineStr">
        <is>
          <t>Phase / Module</t>
        </is>
      </c>
      <c r="C4" s="18" t="inlineStr">
        <is>
          <t>Core Focus Area</t>
        </is>
      </c>
      <c r="D4" s="18" t="inlineStr">
        <is>
          <t>Status</t>
        </is>
      </c>
      <c r="E4" s="18" t="inlineStr">
        <is>
          <t>Technical Score (1-10)</t>
        </is>
      </c>
      <c r="F4" s="18" t="inlineStr">
        <is>
          <t>C Code Quality</t>
        </is>
      </c>
      <c r="G4" s="18" t="inlineStr">
        <is>
          <t>Git Hygiene (1-5)</t>
        </is>
      </c>
      <c r="H4" s="18" t="inlineStr">
        <is>
          <t>Hardware Safety (1-5)</t>
        </is>
      </c>
      <c r="I4" s="18" t="inlineStr">
        <is>
          <t>Coach's Action Plan &amp; Remediation Notes</t>
        </is>
      </c>
    </row>
    <row r="5" ht="20" customHeight="1">
      <c r="A5" s="19" t="inlineStr">
        <is>
          <t>Week 01</t>
        </is>
      </c>
      <c r="B5" s="10" t="inlineStr">
        <is>
          <t>Phase 1: Foundations</t>
        </is>
      </c>
      <c r="C5" s="10" t="inlineStr">
        <is>
          <t>Git Workflows, Repo Discipline, and Dev Setup</t>
        </is>
      </c>
      <c r="D5" s="11" t="inlineStr">
        <is>
          <t>Completed</t>
        </is>
      </c>
      <c r="E5" s="20" t="n">
        <v>9</v>
      </c>
      <c r="F5" s="11" t="inlineStr">
        <is>
          <t>Pass</t>
        </is>
      </c>
      <c r="G5" s="20" t="n">
        <v>5</v>
      </c>
      <c r="H5" s="20" t="n">
        <v>5</v>
      </c>
      <c r="I5" s="10" t="inlineStr">
        <is>
          <t>Excellent repo setup and hook configurations.</t>
        </is>
      </c>
    </row>
    <row r="6" ht="20" customHeight="1">
      <c r="A6" s="21" t="inlineStr">
        <is>
          <t>Week 02</t>
        </is>
      </c>
      <c r="B6" s="13" t="inlineStr">
        <is>
          <t>Phase 1: Foundations</t>
        </is>
      </c>
      <c r="C6" s="13" t="inlineStr">
        <is>
          <t>Digital Logic, Radix Formats, Boolean Gating</t>
        </is>
      </c>
      <c r="D6" s="14" t="inlineStr">
        <is>
          <t>Completed</t>
        </is>
      </c>
      <c r="E6" s="22" t="n">
        <v>8</v>
      </c>
      <c r="F6" s="14" t="inlineStr">
        <is>
          <t>Pass</t>
        </is>
      </c>
      <c r="G6" s="22" t="n">
        <v>4</v>
      </c>
      <c r="H6" s="22" t="n">
        <v>4</v>
      </c>
      <c r="I6" s="13" t="inlineStr">
        <is>
          <t>Half-adder functions clean. Logic delays mapped.</t>
        </is>
      </c>
    </row>
    <row r="7" ht="20" customHeight="1">
      <c r="A7" s="19" t="inlineStr">
        <is>
          <t>Week 03</t>
        </is>
      </c>
      <c r="B7" s="10" t="inlineStr">
        <is>
          <t>Phase 1: Foundations</t>
        </is>
      </c>
      <c r="C7" s="10" t="inlineStr">
        <is>
          <t>Embedded C Basics, Variable Lifetimes, Volatile</t>
        </is>
      </c>
      <c r="D7" s="11" t="inlineStr">
        <is>
          <t>In Progress</t>
        </is>
      </c>
      <c r="E7" s="20" t="n">
        <v>8</v>
      </c>
      <c r="F7" s="11" t="inlineStr">
        <is>
          <t>Pending</t>
        </is>
      </c>
      <c r="G7" s="20" t="n">
        <v>4</v>
      </c>
      <c r="H7" s="20" t="n">
        <v>5</v>
      </c>
      <c r="I7" s="10" t="inlineStr">
        <is>
          <t>Working on volatile polling comparisons. Makefile clean.</t>
        </is>
      </c>
    </row>
    <row r="8" ht="20" customHeight="1">
      <c r="A8" s="21" t="inlineStr">
        <is>
          <t>Week 04</t>
        </is>
      </c>
      <c r="B8" s="13" t="inlineStr">
        <is>
          <t>Phase 1: Foundations</t>
        </is>
      </c>
      <c r="C8" s="13" t="inlineStr">
        <is>
          <t>Core concepts coverage</t>
        </is>
      </c>
      <c r="D8" s="14" t="inlineStr">
        <is>
          <t>Not Started</t>
        </is>
      </c>
      <c r="E8" s="22" t="inlineStr"/>
      <c r="F8" s="14" t="inlineStr">
        <is>
          <t>Pending</t>
        </is>
      </c>
      <c r="G8" s="22" t="inlineStr"/>
      <c r="H8" s="22" t="inlineStr"/>
      <c r="I8" s="13" t="inlineStr"/>
    </row>
    <row r="9" ht="20" customHeight="1">
      <c r="A9" s="19" t="inlineStr">
        <is>
          <t>Week 05</t>
        </is>
      </c>
      <c r="B9" s="10" t="inlineStr">
        <is>
          <t>Phase 1: Foundations</t>
        </is>
      </c>
      <c r="C9" s="10" t="inlineStr">
        <is>
          <t>Core concepts coverage</t>
        </is>
      </c>
      <c r="D9" s="11" t="inlineStr">
        <is>
          <t>Not Started</t>
        </is>
      </c>
      <c r="E9" s="20" t="inlineStr"/>
      <c r="F9" s="11" t="inlineStr">
        <is>
          <t>Pending</t>
        </is>
      </c>
      <c r="G9" s="20" t="inlineStr"/>
      <c r="H9" s="20" t="inlineStr"/>
      <c r="I9" s="10" t="inlineStr"/>
    </row>
    <row r="10" ht="20" customHeight="1">
      <c r="A10" s="21" t="inlineStr">
        <is>
          <t>Week 06</t>
        </is>
      </c>
      <c r="B10" s="13" t="inlineStr">
        <is>
          <t>Phase 1: Foundations</t>
        </is>
      </c>
      <c r="C10" s="13" t="inlineStr">
        <is>
          <t>Core concepts coverage</t>
        </is>
      </c>
      <c r="D10" s="14" t="inlineStr">
        <is>
          <t>Not Started</t>
        </is>
      </c>
      <c r="E10" s="22" t="inlineStr"/>
      <c r="F10" s="14" t="inlineStr">
        <is>
          <t>Pending</t>
        </is>
      </c>
      <c r="G10" s="22" t="inlineStr"/>
      <c r="H10" s="22" t="inlineStr"/>
      <c r="I10" s="13" t="inlineStr"/>
    </row>
    <row r="11" ht="20" customHeight="1">
      <c r="A11" s="19" t="inlineStr">
        <is>
          <t>Week 07</t>
        </is>
      </c>
      <c r="B11" s="10" t="inlineStr">
        <is>
          <t>Phase 2: Bare-Metal</t>
        </is>
      </c>
      <c r="C11" s="10" t="inlineStr">
        <is>
          <t>Core concepts coverage</t>
        </is>
      </c>
      <c r="D11" s="11" t="inlineStr">
        <is>
          <t>Not Started</t>
        </is>
      </c>
      <c r="E11" s="20" t="inlineStr"/>
      <c r="F11" s="11" t="inlineStr">
        <is>
          <t>Pending</t>
        </is>
      </c>
      <c r="G11" s="20" t="inlineStr"/>
      <c r="H11" s="20" t="inlineStr"/>
      <c r="I11" s="10" t="inlineStr"/>
    </row>
    <row r="12" ht="20" customHeight="1">
      <c r="A12" s="21" t="inlineStr">
        <is>
          <t>Week 08</t>
        </is>
      </c>
      <c r="B12" s="13" t="inlineStr">
        <is>
          <t>Phase 2: Bare-Metal</t>
        </is>
      </c>
      <c r="C12" s="13" t="inlineStr">
        <is>
          <t>Core concepts coverage</t>
        </is>
      </c>
      <c r="D12" s="14" t="inlineStr">
        <is>
          <t>Not Started</t>
        </is>
      </c>
      <c r="E12" s="22" t="inlineStr"/>
      <c r="F12" s="14" t="inlineStr">
        <is>
          <t>Pending</t>
        </is>
      </c>
      <c r="G12" s="22" t="inlineStr"/>
      <c r="H12" s="22" t="inlineStr"/>
      <c r="I12" s="13" t="inlineStr"/>
    </row>
    <row r="13" ht="20" customHeight="1">
      <c r="A13" s="19" t="inlineStr">
        <is>
          <t>Week 09</t>
        </is>
      </c>
      <c r="B13" s="10" t="inlineStr">
        <is>
          <t>Phase 2: Bare-Metal</t>
        </is>
      </c>
      <c r="C13" s="10" t="inlineStr">
        <is>
          <t>Core concepts coverage</t>
        </is>
      </c>
      <c r="D13" s="11" t="inlineStr">
        <is>
          <t>Not Started</t>
        </is>
      </c>
      <c r="E13" s="20" t="inlineStr"/>
      <c r="F13" s="11" t="inlineStr">
        <is>
          <t>Pending</t>
        </is>
      </c>
      <c r="G13" s="20" t="inlineStr"/>
      <c r="H13" s="20" t="inlineStr"/>
      <c r="I13" s="10" t="inlineStr"/>
    </row>
    <row r="14" ht="20" customHeight="1">
      <c r="A14" s="21" t="inlineStr">
        <is>
          <t>Week 10</t>
        </is>
      </c>
      <c r="B14" s="13" t="inlineStr">
        <is>
          <t>Phase 2: Bare-Metal</t>
        </is>
      </c>
      <c r="C14" s="13" t="inlineStr">
        <is>
          <t>Core concepts coverage</t>
        </is>
      </c>
      <c r="D14" s="14" t="inlineStr">
        <is>
          <t>Not Started</t>
        </is>
      </c>
      <c r="E14" s="22" t="inlineStr"/>
      <c r="F14" s="14" t="inlineStr">
        <is>
          <t>Pending</t>
        </is>
      </c>
      <c r="G14" s="22" t="inlineStr"/>
      <c r="H14" s="22" t="inlineStr"/>
      <c r="I14" s="13" t="inlineStr"/>
    </row>
    <row r="15" ht="20" customHeight="1">
      <c r="A15" s="19" t="inlineStr">
        <is>
          <t>Week 11</t>
        </is>
      </c>
      <c r="B15" s="10" t="inlineStr">
        <is>
          <t>Phase 2: Bare-Metal</t>
        </is>
      </c>
      <c r="C15" s="10" t="inlineStr">
        <is>
          <t>Core concepts coverage</t>
        </is>
      </c>
      <c r="D15" s="11" t="inlineStr">
        <is>
          <t>Not Started</t>
        </is>
      </c>
      <c r="E15" s="20" t="inlineStr"/>
      <c r="F15" s="11" t="inlineStr">
        <is>
          <t>Pending</t>
        </is>
      </c>
      <c r="G15" s="20" t="inlineStr"/>
      <c r="H15" s="20" t="inlineStr"/>
      <c r="I15" s="10" t="inlineStr"/>
    </row>
    <row r="16" ht="20" customHeight="1">
      <c r="A16" s="21" t="inlineStr">
        <is>
          <t>Week 12</t>
        </is>
      </c>
      <c r="B16" s="13" t="inlineStr">
        <is>
          <t>Phase 2: Bare-Metal</t>
        </is>
      </c>
      <c r="C16" s="13" t="inlineStr">
        <is>
          <t>Core concepts coverage</t>
        </is>
      </c>
      <c r="D16" s="14" t="inlineStr">
        <is>
          <t>Not Started</t>
        </is>
      </c>
      <c r="E16" s="22" t="inlineStr"/>
      <c r="F16" s="14" t="inlineStr">
        <is>
          <t>Pending</t>
        </is>
      </c>
      <c r="G16" s="22" t="inlineStr"/>
      <c r="H16" s="22" t="inlineStr"/>
      <c r="I16" s="13" t="inlineStr"/>
    </row>
    <row r="17" ht="20" customHeight="1">
      <c r="A17" s="19" t="inlineStr">
        <is>
          <t>Week 13</t>
        </is>
      </c>
      <c r="B17" s="10" t="inlineStr">
        <is>
          <t>Phase 3: Systems Prog</t>
        </is>
      </c>
      <c r="C17" s="10" t="inlineStr">
        <is>
          <t>Core concepts coverage</t>
        </is>
      </c>
      <c r="D17" s="11" t="inlineStr">
        <is>
          <t>Not Started</t>
        </is>
      </c>
      <c r="E17" s="20" t="inlineStr"/>
      <c r="F17" s="11" t="inlineStr">
        <is>
          <t>Pending</t>
        </is>
      </c>
      <c r="G17" s="20" t="inlineStr"/>
      <c r="H17" s="20" t="inlineStr"/>
      <c r="I17" s="10" t="inlineStr"/>
    </row>
    <row r="18" ht="20" customHeight="1">
      <c r="A18" s="21" t="inlineStr">
        <is>
          <t>Week 14</t>
        </is>
      </c>
      <c r="B18" s="13" t="inlineStr">
        <is>
          <t>Phase 3: Systems Prog</t>
        </is>
      </c>
      <c r="C18" s="13" t="inlineStr">
        <is>
          <t>Core concepts coverage</t>
        </is>
      </c>
      <c r="D18" s="14" t="inlineStr">
        <is>
          <t>Not Started</t>
        </is>
      </c>
      <c r="E18" s="22" t="inlineStr"/>
      <c r="F18" s="14" t="inlineStr">
        <is>
          <t>Pending</t>
        </is>
      </c>
      <c r="G18" s="22" t="inlineStr"/>
      <c r="H18" s="22" t="inlineStr"/>
      <c r="I18" s="13" t="inlineStr"/>
    </row>
    <row r="19" ht="20" customHeight="1">
      <c r="A19" s="19" t="inlineStr">
        <is>
          <t>Week 15</t>
        </is>
      </c>
      <c r="B19" s="10" t="inlineStr">
        <is>
          <t>Phase 3: Systems Prog</t>
        </is>
      </c>
      <c r="C19" s="10" t="inlineStr">
        <is>
          <t>Core concepts coverage</t>
        </is>
      </c>
      <c r="D19" s="11" t="inlineStr">
        <is>
          <t>Not Started</t>
        </is>
      </c>
      <c r="E19" s="20" t="inlineStr"/>
      <c r="F19" s="11" t="inlineStr">
        <is>
          <t>Pending</t>
        </is>
      </c>
      <c r="G19" s="20" t="inlineStr"/>
      <c r="H19" s="20" t="inlineStr"/>
      <c r="I19" s="10" t="inlineStr"/>
    </row>
    <row r="20" ht="20" customHeight="1">
      <c r="A20" s="21" t="inlineStr">
        <is>
          <t>Week 16</t>
        </is>
      </c>
      <c r="B20" s="13" t="inlineStr">
        <is>
          <t>Phase 3: Systems Prog</t>
        </is>
      </c>
      <c r="C20" s="13" t="inlineStr">
        <is>
          <t>Core concepts coverage</t>
        </is>
      </c>
      <c r="D20" s="14" t="inlineStr">
        <is>
          <t>Not Started</t>
        </is>
      </c>
      <c r="E20" s="22" t="inlineStr"/>
      <c r="F20" s="14" t="inlineStr">
        <is>
          <t>Pending</t>
        </is>
      </c>
      <c r="G20" s="22" t="inlineStr"/>
      <c r="H20" s="22" t="inlineStr"/>
      <c r="I20" s="13" t="inlineStr"/>
    </row>
    <row r="21" ht="20" customHeight="1">
      <c r="A21" s="19" t="inlineStr">
        <is>
          <t>Week 17</t>
        </is>
      </c>
      <c r="B21" s="10" t="inlineStr">
        <is>
          <t>Phase 3: Systems Prog</t>
        </is>
      </c>
      <c r="C21" s="10" t="inlineStr">
        <is>
          <t>Core concepts coverage</t>
        </is>
      </c>
      <c r="D21" s="11" t="inlineStr">
        <is>
          <t>Not Started</t>
        </is>
      </c>
      <c r="E21" s="20" t="inlineStr"/>
      <c r="F21" s="11" t="inlineStr">
        <is>
          <t>Pending</t>
        </is>
      </c>
      <c r="G21" s="20" t="inlineStr"/>
      <c r="H21" s="20" t="inlineStr"/>
      <c r="I21" s="10" t="inlineStr"/>
    </row>
    <row r="22" ht="20" customHeight="1">
      <c r="A22" s="21" t="inlineStr">
        <is>
          <t>Week 18</t>
        </is>
      </c>
      <c r="B22" s="13" t="inlineStr">
        <is>
          <t>Phase 3: Systems Prog</t>
        </is>
      </c>
      <c r="C22" s="13" t="inlineStr">
        <is>
          <t>Core concepts coverage</t>
        </is>
      </c>
      <c r="D22" s="14" t="inlineStr">
        <is>
          <t>Not Started</t>
        </is>
      </c>
      <c r="E22" s="22" t="inlineStr"/>
      <c r="F22" s="14" t="inlineStr">
        <is>
          <t>Pending</t>
        </is>
      </c>
      <c r="G22" s="22" t="inlineStr"/>
      <c r="H22" s="22" t="inlineStr"/>
      <c r="I22" s="13" t="inlineStr"/>
    </row>
    <row r="23" ht="20" customHeight="1">
      <c r="A23" s="19" t="inlineStr">
        <is>
          <t>Week 19</t>
        </is>
      </c>
      <c r="B23" s="10" t="inlineStr">
        <is>
          <t>Phase 4: RTOS Core</t>
        </is>
      </c>
      <c r="C23" s="10" t="inlineStr">
        <is>
          <t>Core concepts coverage</t>
        </is>
      </c>
      <c r="D23" s="11" t="inlineStr">
        <is>
          <t>Not Started</t>
        </is>
      </c>
      <c r="E23" s="20" t="inlineStr"/>
      <c r="F23" s="11" t="inlineStr">
        <is>
          <t>Pending</t>
        </is>
      </c>
      <c r="G23" s="20" t="inlineStr"/>
      <c r="H23" s="20" t="inlineStr"/>
      <c r="I23" s="10" t="inlineStr"/>
    </row>
    <row r="24" ht="20" customHeight="1">
      <c r="A24" s="21" t="inlineStr">
        <is>
          <t>Week 20</t>
        </is>
      </c>
      <c r="B24" s="13" t="inlineStr">
        <is>
          <t>Phase 4: RTOS Core</t>
        </is>
      </c>
      <c r="C24" s="13" t="inlineStr">
        <is>
          <t>Core concepts coverage</t>
        </is>
      </c>
      <c r="D24" s="14" t="inlineStr">
        <is>
          <t>Not Started</t>
        </is>
      </c>
      <c r="E24" s="22" t="inlineStr"/>
      <c r="F24" s="14" t="inlineStr">
        <is>
          <t>Pending</t>
        </is>
      </c>
      <c r="G24" s="22" t="inlineStr"/>
      <c r="H24" s="22" t="inlineStr"/>
      <c r="I24" s="13" t="inlineStr"/>
    </row>
    <row r="25" ht="20" customHeight="1">
      <c r="A25" s="19" t="inlineStr">
        <is>
          <t>Week 21</t>
        </is>
      </c>
      <c r="B25" s="10" t="inlineStr">
        <is>
          <t>Phase 4: RTOS Core</t>
        </is>
      </c>
      <c r="C25" s="10" t="inlineStr">
        <is>
          <t>Core concepts coverage</t>
        </is>
      </c>
      <c r="D25" s="11" t="inlineStr">
        <is>
          <t>Not Started</t>
        </is>
      </c>
      <c r="E25" s="20" t="inlineStr"/>
      <c r="F25" s="11" t="inlineStr">
        <is>
          <t>Pending</t>
        </is>
      </c>
      <c r="G25" s="20" t="inlineStr"/>
      <c r="H25" s="20" t="inlineStr"/>
      <c r="I25" s="10" t="inlineStr"/>
    </row>
    <row r="26" ht="20" customHeight="1">
      <c r="A26" s="21" t="inlineStr">
        <is>
          <t>Week 22</t>
        </is>
      </c>
      <c r="B26" s="13" t="inlineStr">
        <is>
          <t>Phase 4: RTOS Core</t>
        </is>
      </c>
      <c r="C26" s="13" t="inlineStr">
        <is>
          <t>Core concepts coverage</t>
        </is>
      </c>
      <c r="D26" s="14" t="inlineStr">
        <is>
          <t>Not Started</t>
        </is>
      </c>
      <c r="E26" s="22" t="inlineStr"/>
      <c r="F26" s="14" t="inlineStr">
        <is>
          <t>Pending</t>
        </is>
      </c>
      <c r="G26" s="22" t="inlineStr"/>
      <c r="H26" s="22" t="inlineStr"/>
      <c r="I26" s="13" t="inlineStr"/>
    </row>
    <row r="27" ht="20" customHeight="1">
      <c r="A27" s="19" t="inlineStr">
        <is>
          <t>Week 23</t>
        </is>
      </c>
      <c r="B27" s="10" t="inlineStr">
        <is>
          <t>Phase 4: RTOS Core</t>
        </is>
      </c>
      <c r="C27" s="10" t="inlineStr">
        <is>
          <t>Core concepts coverage</t>
        </is>
      </c>
      <c r="D27" s="11" t="inlineStr">
        <is>
          <t>Not Started</t>
        </is>
      </c>
      <c r="E27" s="20" t="inlineStr"/>
      <c r="F27" s="11" t="inlineStr">
        <is>
          <t>Pending</t>
        </is>
      </c>
      <c r="G27" s="20" t="inlineStr"/>
      <c r="H27" s="20" t="inlineStr"/>
      <c r="I27" s="10" t="inlineStr"/>
    </row>
    <row r="28" ht="20" customHeight="1">
      <c r="A28" s="21" t="inlineStr">
        <is>
          <t>Week 24</t>
        </is>
      </c>
      <c r="B28" s="13" t="inlineStr">
        <is>
          <t>Phase 4: RTOS Core</t>
        </is>
      </c>
      <c r="C28" s="13" t="inlineStr">
        <is>
          <t>Core concepts coverage</t>
        </is>
      </c>
      <c r="D28" s="14" t="inlineStr">
        <is>
          <t>Not Started</t>
        </is>
      </c>
      <c r="E28" s="22" t="inlineStr"/>
      <c r="F28" s="14" t="inlineStr">
        <is>
          <t>Pending</t>
        </is>
      </c>
      <c r="G28" s="22" t="inlineStr"/>
      <c r="H28" s="22" t="inlineStr"/>
      <c r="I28" s="13" t="inlineStr"/>
    </row>
    <row r="29" ht="20" customHeight="1">
      <c r="A29" s="19" t="inlineStr">
        <is>
          <t>Week 25</t>
        </is>
      </c>
      <c r="B29" s="10" t="inlineStr">
        <is>
          <t>Phase 5: Kernel Space</t>
        </is>
      </c>
      <c r="C29" s="10" t="inlineStr">
        <is>
          <t>Core concepts coverage</t>
        </is>
      </c>
      <c r="D29" s="11" t="inlineStr">
        <is>
          <t>Not Started</t>
        </is>
      </c>
      <c r="E29" s="20" t="inlineStr"/>
      <c r="F29" s="11" t="inlineStr">
        <is>
          <t>Pending</t>
        </is>
      </c>
      <c r="G29" s="20" t="inlineStr"/>
      <c r="H29" s="20" t="inlineStr"/>
      <c r="I29" s="10" t="inlineStr"/>
    </row>
    <row r="30" ht="20" customHeight="1">
      <c r="A30" s="21" t="inlineStr">
        <is>
          <t>Week 26</t>
        </is>
      </c>
      <c r="B30" s="13" t="inlineStr">
        <is>
          <t>Phase 5: Kernel Space</t>
        </is>
      </c>
      <c r="C30" s="13" t="inlineStr">
        <is>
          <t>Core concepts coverage</t>
        </is>
      </c>
      <c r="D30" s="14" t="inlineStr">
        <is>
          <t>Not Started</t>
        </is>
      </c>
      <c r="E30" s="22" t="inlineStr"/>
      <c r="F30" s="14" t="inlineStr">
        <is>
          <t>Pending</t>
        </is>
      </c>
      <c r="G30" s="22" t="inlineStr"/>
      <c r="H30" s="22" t="inlineStr"/>
      <c r="I30" s="13" t="inlineStr"/>
    </row>
    <row r="31" ht="20" customHeight="1">
      <c r="A31" s="19" t="inlineStr">
        <is>
          <t>Week 27</t>
        </is>
      </c>
      <c r="B31" s="10" t="inlineStr">
        <is>
          <t>Phase 5: Kernel Space</t>
        </is>
      </c>
      <c r="C31" s="10" t="inlineStr">
        <is>
          <t>Core concepts coverage</t>
        </is>
      </c>
      <c r="D31" s="11" t="inlineStr">
        <is>
          <t>Not Started</t>
        </is>
      </c>
      <c r="E31" s="20" t="inlineStr"/>
      <c r="F31" s="11" t="inlineStr">
        <is>
          <t>Pending</t>
        </is>
      </c>
      <c r="G31" s="20" t="inlineStr"/>
      <c r="H31" s="20" t="inlineStr"/>
      <c r="I31" s="10" t="inlineStr"/>
    </row>
    <row r="32" ht="20" customHeight="1">
      <c r="A32" s="21" t="inlineStr">
        <is>
          <t>Week 28</t>
        </is>
      </c>
      <c r="B32" s="13" t="inlineStr">
        <is>
          <t>Phase 5: Kernel Space</t>
        </is>
      </c>
      <c r="C32" s="13" t="inlineStr">
        <is>
          <t>Core concepts coverage</t>
        </is>
      </c>
      <c r="D32" s="14" t="inlineStr">
        <is>
          <t>Not Started</t>
        </is>
      </c>
      <c r="E32" s="22" t="inlineStr"/>
      <c r="F32" s="14" t="inlineStr">
        <is>
          <t>Pending</t>
        </is>
      </c>
      <c r="G32" s="22" t="inlineStr"/>
      <c r="H32" s="22" t="inlineStr"/>
      <c r="I32" s="13" t="inlineStr"/>
    </row>
    <row r="33" ht="20" customHeight="1">
      <c r="A33" s="19" t="inlineStr">
        <is>
          <t>Week 29</t>
        </is>
      </c>
      <c r="B33" s="10" t="inlineStr">
        <is>
          <t>Phase 5: Kernel Space</t>
        </is>
      </c>
      <c r="C33" s="10" t="inlineStr">
        <is>
          <t>Core concepts coverage</t>
        </is>
      </c>
      <c r="D33" s="11" t="inlineStr">
        <is>
          <t>Not Started</t>
        </is>
      </c>
      <c r="E33" s="20" t="inlineStr"/>
      <c r="F33" s="11" t="inlineStr">
        <is>
          <t>Pending</t>
        </is>
      </c>
      <c r="G33" s="20" t="inlineStr"/>
      <c r="H33" s="20" t="inlineStr"/>
      <c r="I33" s="10" t="inlineStr"/>
    </row>
    <row r="34" ht="20" customHeight="1">
      <c r="A34" s="21" t="inlineStr">
        <is>
          <t>Week 30</t>
        </is>
      </c>
      <c r="B34" s="13" t="inlineStr">
        <is>
          <t>Phase 5: Kernel Space</t>
        </is>
      </c>
      <c r="C34" s="13" t="inlineStr">
        <is>
          <t>Core concepts coverage</t>
        </is>
      </c>
      <c r="D34" s="14" t="inlineStr">
        <is>
          <t>Not Started</t>
        </is>
      </c>
      <c r="E34" s="22" t="inlineStr"/>
      <c r="F34" s="14" t="inlineStr">
        <is>
          <t>Pending</t>
        </is>
      </c>
      <c r="G34" s="22" t="inlineStr"/>
      <c r="H34" s="22" t="inlineStr"/>
      <c r="I34" s="13" t="inlineStr"/>
    </row>
    <row r="35" ht="20" customHeight="1">
      <c r="A35" s="19" t="inlineStr">
        <is>
          <t>Week 31</t>
        </is>
      </c>
      <c r="B35" s="10" t="inlineStr">
        <is>
          <t>Phase 6: Integration</t>
        </is>
      </c>
      <c r="C35" s="10" t="inlineStr">
        <is>
          <t>Core concepts coverage</t>
        </is>
      </c>
      <c r="D35" s="11" t="inlineStr">
        <is>
          <t>Not Started</t>
        </is>
      </c>
      <c r="E35" s="20" t="inlineStr"/>
      <c r="F35" s="11" t="inlineStr">
        <is>
          <t>Pending</t>
        </is>
      </c>
      <c r="G35" s="20" t="inlineStr"/>
      <c r="H35" s="20" t="inlineStr"/>
      <c r="I35" s="10" t="inlineStr"/>
    </row>
    <row r="36" ht="20" customHeight="1">
      <c r="A36" s="21" t="inlineStr">
        <is>
          <t>Week 32</t>
        </is>
      </c>
      <c r="B36" s="13" t="inlineStr">
        <is>
          <t>Phase 6: Integration</t>
        </is>
      </c>
      <c r="C36" s="13" t="inlineStr">
        <is>
          <t>Core concepts coverage</t>
        </is>
      </c>
      <c r="D36" s="14" t="inlineStr">
        <is>
          <t>Not Started</t>
        </is>
      </c>
      <c r="E36" s="22" t="inlineStr"/>
      <c r="F36" s="14" t="inlineStr">
        <is>
          <t>Pending</t>
        </is>
      </c>
      <c r="G36" s="22" t="inlineStr"/>
      <c r="H36" s="22" t="inlineStr"/>
      <c r="I36" s="13" t="inlineStr"/>
    </row>
    <row r="37" ht="20" customHeight="1">
      <c r="A37" s="19" t="inlineStr">
        <is>
          <t>Week 33</t>
        </is>
      </c>
      <c r="B37" s="10" t="inlineStr">
        <is>
          <t>Phase 6: Integration</t>
        </is>
      </c>
      <c r="C37" s="10" t="inlineStr">
        <is>
          <t>Core concepts coverage</t>
        </is>
      </c>
      <c r="D37" s="11" t="inlineStr">
        <is>
          <t>Not Started</t>
        </is>
      </c>
      <c r="E37" s="20" t="inlineStr"/>
      <c r="F37" s="11" t="inlineStr">
        <is>
          <t>Pending</t>
        </is>
      </c>
      <c r="G37" s="20" t="inlineStr"/>
      <c r="H37" s="20" t="inlineStr"/>
      <c r="I37" s="10" t="inlineStr"/>
    </row>
    <row r="38" ht="20" customHeight="1">
      <c r="A38" s="21" t="inlineStr">
        <is>
          <t>Week 34</t>
        </is>
      </c>
      <c r="B38" s="13" t="inlineStr">
        <is>
          <t>Phase 6: Integration</t>
        </is>
      </c>
      <c r="C38" s="13" t="inlineStr">
        <is>
          <t>Core concepts coverage</t>
        </is>
      </c>
      <c r="D38" s="14" t="inlineStr">
        <is>
          <t>Not Started</t>
        </is>
      </c>
      <c r="E38" s="22" t="inlineStr"/>
      <c r="F38" s="14" t="inlineStr">
        <is>
          <t>Pending</t>
        </is>
      </c>
      <c r="G38" s="22" t="inlineStr"/>
      <c r="H38" s="22" t="inlineStr"/>
      <c r="I38" s="13" t="inlineStr"/>
    </row>
    <row r="39" ht="20" customHeight="1">
      <c r="A39" s="19" t="inlineStr">
        <is>
          <t>Week 35</t>
        </is>
      </c>
      <c r="B39" s="10" t="inlineStr">
        <is>
          <t>Phase 6: Integration</t>
        </is>
      </c>
      <c r="C39" s="10" t="inlineStr">
        <is>
          <t>Core concepts coverage</t>
        </is>
      </c>
      <c r="D39" s="11" t="inlineStr">
        <is>
          <t>Not Started</t>
        </is>
      </c>
      <c r="E39" s="20" t="inlineStr"/>
      <c r="F39" s="11" t="inlineStr">
        <is>
          <t>Pending</t>
        </is>
      </c>
      <c r="G39" s="20" t="inlineStr"/>
      <c r="H39" s="20" t="inlineStr"/>
      <c r="I39" s="10" t="inlineStr"/>
    </row>
    <row r="40" ht="20" customHeight="1">
      <c r="A40" s="21" t="inlineStr">
        <is>
          <t>Week 36</t>
        </is>
      </c>
      <c r="B40" s="13" t="inlineStr">
        <is>
          <t>Phase 6: Integration</t>
        </is>
      </c>
      <c r="C40" s="13" t="inlineStr">
        <is>
          <t>Core concepts coverage</t>
        </is>
      </c>
      <c r="D40" s="14" t="inlineStr">
        <is>
          <t>Not Started</t>
        </is>
      </c>
      <c r="E40" s="22" t="inlineStr"/>
      <c r="F40" s="14" t="inlineStr">
        <is>
          <t>Pending</t>
        </is>
      </c>
      <c r="G40" s="22" t="inlineStr"/>
      <c r="H40" s="22" t="inlineStr"/>
      <c r="I40" s="13" t="inlineStr"/>
    </row>
  </sheetData>
  <mergeCells count="1">
    <mergeCell ref="A1:I2"/>
  </mergeCells>
  <conditionalFormatting sqref="D5:D40">
    <cfRule type="cellIs" priority="1" operator="equal" dxfId="1">
      <formula>"Completed"</formula>
    </cfRule>
    <cfRule type="cellIs" priority="2" operator="equal" dxfId="2">
      <formula>"In Progress"</formula>
    </cfRule>
    <cfRule type="cellIs" priority="3" operator="equal" dxfId="3">
      <formula>"Not Started"</formula>
    </cfRule>
  </conditionalFormatting>
  <conditionalFormatting sqref="F5:F40">
    <cfRule type="cellIs" priority="4" operator="equal" dxfId="1">
      <formula>"Pass"</formula>
    </cfRule>
    <cfRule type="cellIs" priority="5" operator="equal" dxfId="0">
      <formula>"Fail"</formula>
    </cfRule>
    <cfRule type="cellIs" priority="6" operator="equal" dxfId="3">
      <formula>"Pending"</formula>
    </cfRule>
  </conditionalFormatting>
  <dataValidations count="2">
    <dataValidation sqref="D5:D40" showDropDown="0" showInputMessage="0" showErrorMessage="0" allowBlank="1" type="list">
      <formula1>"Not Started,In Progress,Completed"</formula1>
    </dataValidation>
    <dataValidation sqref="F5:F40 H5:H16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8" customWidth="1" min="3" max="3"/>
    <col width="15" customWidth="1" min="4" max="4"/>
    <col width="26" customWidth="1" min="5" max="5"/>
    <col width="22" customWidth="1" min="6" max="6"/>
    <col width="26" customWidth="1" min="7" max="7"/>
    <col width="23" customWidth="1" min="8" max="8"/>
    <col width="47" customWidth="1" min="9" max="9"/>
  </cols>
  <sheetData>
    <row r="1">
      <c r="A1" s="17" t="inlineStr">
        <is>
          <t>C SYSTEMS PROGRAMMING PROGRESS TRACKER</t>
        </is>
      </c>
    </row>
    <row r="2"/>
    <row r="3"/>
    <row r="4" ht="28" customHeight="1">
      <c r="A4" s="23" t="inlineStr">
        <is>
          <t>Week</t>
        </is>
      </c>
      <c r="B4" s="23" t="inlineStr">
        <is>
          <t>Phase / Module</t>
        </is>
      </c>
      <c r="C4" s="23" t="inlineStr">
        <is>
          <t>Core Focus Area</t>
        </is>
      </c>
      <c r="D4" s="23" t="inlineStr">
        <is>
          <t>Status</t>
        </is>
      </c>
      <c r="E4" s="23" t="inlineStr">
        <is>
          <t>Technical Score (1-10)</t>
        </is>
      </c>
      <c r="F4" s="23" t="inlineStr">
        <is>
          <t>MISRA C Compliance</t>
        </is>
      </c>
      <c r="G4" s="23" t="inlineStr">
        <is>
          <t>Static Analysis Errors</t>
        </is>
      </c>
      <c r="H4" s="23" t="inlineStr">
        <is>
          <t>GDB Debugging (1-5)</t>
        </is>
      </c>
      <c r="I4" s="23" t="inlineStr">
        <is>
          <t>Coach's Action Plan &amp; Remediation Notes</t>
        </is>
      </c>
    </row>
    <row r="5" ht="20" customHeight="1">
      <c r="A5" s="19" t="inlineStr">
        <is>
          <t>Week 01</t>
        </is>
      </c>
      <c r="B5" s="10" t="inlineStr">
        <is>
          <t>Milestone 1: The Machine</t>
        </is>
      </c>
      <c r="C5" s="10" t="inlineStr">
        <is>
          <t>Compiler Mechanics &amp; Build Systems</t>
        </is>
      </c>
      <c r="D5" s="11" t="inlineStr">
        <is>
          <t>In Progress</t>
        </is>
      </c>
      <c r="E5" s="20" t="n">
        <v>8</v>
      </c>
      <c r="F5" s="11" t="inlineStr">
        <is>
          <t>Pending</t>
        </is>
      </c>
      <c r="G5" s="20" t="n">
        <v>0</v>
      </c>
      <c r="H5" s="20" t="n">
        <v>4</v>
      </c>
      <c r="I5" s="10" t="inlineStr">
        <is>
          <t>Configuring auto-dependency Makefile rules.</t>
        </is>
      </c>
    </row>
    <row r="6" ht="20" customHeight="1">
      <c r="A6" s="21" t="inlineStr">
        <is>
          <t>Week 02</t>
        </is>
      </c>
      <c r="B6" s="13" t="inlineStr">
        <is>
          <t>Milestone 1: The Machine</t>
        </is>
      </c>
      <c r="C6" s="13" t="inlineStr">
        <is>
          <t>Milestone C concepts mapping W2</t>
        </is>
      </c>
      <c r="D6" s="14" t="inlineStr">
        <is>
          <t>Not Started</t>
        </is>
      </c>
      <c r="E6" s="22" t="inlineStr"/>
      <c r="F6" s="14" t="inlineStr">
        <is>
          <t>Pending</t>
        </is>
      </c>
      <c r="G6" s="22" t="inlineStr"/>
      <c r="H6" s="22" t="inlineStr"/>
      <c r="I6" s="13" t="inlineStr"/>
    </row>
    <row r="7" ht="20" customHeight="1">
      <c r="A7" s="19" t="inlineStr">
        <is>
          <t>Week 03</t>
        </is>
      </c>
      <c r="B7" s="10" t="inlineStr">
        <is>
          <t>Milestone 1: The Machine</t>
        </is>
      </c>
      <c r="C7" s="10" t="inlineStr">
        <is>
          <t>Milestone C concepts mapping W3</t>
        </is>
      </c>
      <c r="D7" s="11" t="inlineStr">
        <is>
          <t>Not Started</t>
        </is>
      </c>
      <c r="E7" s="20" t="inlineStr"/>
      <c r="F7" s="11" t="inlineStr">
        <is>
          <t>Pending</t>
        </is>
      </c>
      <c r="G7" s="20" t="inlineStr"/>
      <c r="H7" s="20" t="inlineStr"/>
      <c r="I7" s="10" t="inlineStr"/>
    </row>
    <row r="8" ht="20" customHeight="1">
      <c r="A8" s="21" t="inlineStr">
        <is>
          <t>Week 04</t>
        </is>
      </c>
      <c r="B8" s="13" t="inlineStr">
        <is>
          <t>Milestone 2: Memory Context</t>
        </is>
      </c>
      <c r="C8" s="13" t="inlineStr">
        <is>
          <t>Milestone C concepts mapping W4</t>
        </is>
      </c>
      <c r="D8" s="14" t="inlineStr">
        <is>
          <t>Not Started</t>
        </is>
      </c>
      <c r="E8" s="22" t="inlineStr"/>
      <c r="F8" s="14" t="inlineStr">
        <is>
          <t>Pending</t>
        </is>
      </c>
      <c r="G8" s="22" t="inlineStr"/>
      <c r="H8" s="22" t="inlineStr"/>
      <c r="I8" s="13" t="inlineStr"/>
    </row>
    <row r="9" ht="20" customHeight="1">
      <c r="A9" s="19" t="inlineStr">
        <is>
          <t>Week 05</t>
        </is>
      </c>
      <c r="B9" s="10" t="inlineStr">
        <is>
          <t>Milestone 2: Memory Context</t>
        </is>
      </c>
      <c r="C9" s="10" t="inlineStr">
        <is>
          <t>Milestone C concepts mapping W5</t>
        </is>
      </c>
      <c r="D9" s="11" t="inlineStr">
        <is>
          <t>Not Started</t>
        </is>
      </c>
      <c r="E9" s="20" t="inlineStr"/>
      <c r="F9" s="11" t="inlineStr">
        <is>
          <t>Pending</t>
        </is>
      </c>
      <c r="G9" s="20" t="inlineStr"/>
      <c r="H9" s="20" t="inlineStr"/>
      <c r="I9" s="10" t="inlineStr"/>
    </row>
    <row r="10" ht="20" customHeight="1">
      <c r="A10" s="21" t="inlineStr">
        <is>
          <t>Week 06</t>
        </is>
      </c>
      <c r="B10" s="13" t="inlineStr">
        <is>
          <t>Milestone 2: Memory Context</t>
        </is>
      </c>
      <c r="C10" s="13" t="inlineStr">
        <is>
          <t>Milestone C concepts mapping W6</t>
        </is>
      </c>
      <c r="D10" s="14" t="inlineStr">
        <is>
          <t>Not Started</t>
        </is>
      </c>
      <c r="E10" s="22" t="inlineStr"/>
      <c r="F10" s="14" t="inlineStr">
        <is>
          <t>Pending</t>
        </is>
      </c>
      <c r="G10" s="22" t="inlineStr"/>
      <c r="H10" s="22" t="inlineStr"/>
      <c r="I10" s="13" t="inlineStr"/>
    </row>
    <row r="11" ht="20" customHeight="1">
      <c r="A11" s="19" t="inlineStr">
        <is>
          <t>Week 07</t>
        </is>
      </c>
      <c r="B11" s="10" t="inlineStr">
        <is>
          <t>Milestone 3: Data Boundaries</t>
        </is>
      </c>
      <c r="C11" s="10" t="inlineStr">
        <is>
          <t>Milestone C concepts mapping W7</t>
        </is>
      </c>
      <c r="D11" s="11" t="inlineStr">
        <is>
          <t>Not Started</t>
        </is>
      </c>
      <c r="E11" s="20" t="inlineStr"/>
      <c r="F11" s="11" t="inlineStr">
        <is>
          <t>Pending</t>
        </is>
      </c>
      <c r="G11" s="20" t="inlineStr"/>
      <c r="H11" s="20" t="inlineStr"/>
      <c r="I11" s="10" t="inlineStr"/>
    </row>
    <row r="12" ht="20" customHeight="1">
      <c r="A12" s="21" t="inlineStr">
        <is>
          <t>Week 08</t>
        </is>
      </c>
      <c r="B12" s="13" t="inlineStr">
        <is>
          <t>Milestone 3: Data Boundaries</t>
        </is>
      </c>
      <c r="C12" s="13" t="inlineStr">
        <is>
          <t>Milestone C concepts mapping W8</t>
        </is>
      </c>
      <c r="D12" s="14" t="inlineStr">
        <is>
          <t>Not Started</t>
        </is>
      </c>
      <c r="E12" s="22" t="inlineStr"/>
      <c r="F12" s="14" t="inlineStr">
        <is>
          <t>Pending</t>
        </is>
      </c>
      <c r="G12" s="22" t="inlineStr"/>
      <c r="H12" s="22" t="inlineStr"/>
      <c r="I12" s="13" t="inlineStr"/>
    </row>
    <row r="13" ht="20" customHeight="1">
      <c r="A13" s="19" t="inlineStr">
        <is>
          <t>Week 09</t>
        </is>
      </c>
      <c r="B13" s="10" t="inlineStr">
        <is>
          <t>Milestone 3: Data Boundaries</t>
        </is>
      </c>
      <c r="C13" s="10" t="inlineStr">
        <is>
          <t>Milestone C concepts mapping W9</t>
        </is>
      </c>
      <c r="D13" s="11" t="inlineStr">
        <is>
          <t>Not Started</t>
        </is>
      </c>
      <c r="E13" s="20" t="inlineStr"/>
      <c r="F13" s="11" t="inlineStr">
        <is>
          <t>Pending</t>
        </is>
      </c>
      <c r="G13" s="20" t="inlineStr"/>
      <c r="H13" s="20" t="inlineStr"/>
      <c r="I13" s="10" t="inlineStr"/>
    </row>
    <row r="14" ht="20" customHeight="1">
      <c r="A14" s="21" t="inlineStr">
        <is>
          <t>Week 10</t>
        </is>
      </c>
      <c r="B14" s="13" t="inlineStr">
        <is>
          <t>Milestone 4: Concurrency</t>
        </is>
      </c>
      <c r="C14" s="13" t="inlineStr">
        <is>
          <t>Milestone C concepts mapping W10</t>
        </is>
      </c>
      <c r="D14" s="14" t="inlineStr">
        <is>
          <t>Not Started</t>
        </is>
      </c>
      <c r="E14" s="22" t="inlineStr"/>
      <c r="F14" s="14" t="inlineStr">
        <is>
          <t>Pending</t>
        </is>
      </c>
      <c r="G14" s="22" t="inlineStr"/>
      <c r="H14" s="22" t="inlineStr"/>
      <c r="I14" s="13" t="inlineStr"/>
    </row>
    <row r="15" ht="20" customHeight="1">
      <c r="A15" s="19" t="inlineStr">
        <is>
          <t>Week 11</t>
        </is>
      </c>
      <c r="B15" s="10" t="inlineStr">
        <is>
          <t>Milestone 4: Concurrency</t>
        </is>
      </c>
      <c r="C15" s="10" t="inlineStr">
        <is>
          <t>Milestone C concepts mapping W11</t>
        </is>
      </c>
      <c r="D15" s="11" t="inlineStr">
        <is>
          <t>Not Started</t>
        </is>
      </c>
      <c r="E15" s="20" t="inlineStr"/>
      <c r="F15" s="11" t="inlineStr">
        <is>
          <t>Pending</t>
        </is>
      </c>
      <c r="G15" s="20" t="inlineStr"/>
      <c r="H15" s="20" t="inlineStr"/>
      <c r="I15" s="10" t="inlineStr"/>
    </row>
    <row r="16" ht="20" customHeight="1">
      <c r="A16" s="21" t="inlineStr">
        <is>
          <t>Week 12</t>
        </is>
      </c>
      <c r="B16" s="13" t="inlineStr">
        <is>
          <t>Milestone 4: Concurrency</t>
        </is>
      </c>
      <c r="C16" s="13" t="inlineStr">
        <is>
          <t>Milestone C concepts mapping W12</t>
        </is>
      </c>
      <c r="D16" s="14" t="inlineStr">
        <is>
          <t>Not Started</t>
        </is>
      </c>
      <c r="E16" s="22" t="inlineStr"/>
      <c r="F16" s="14" t="inlineStr">
        <is>
          <t>Pending</t>
        </is>
      </c>
      <c r="G16" s="22" t="inlineStr"/>
      <c r="H16" s="22" t="inlineStr"/>
      <c r="I16" s="13" t="inlineStr"/>
    </row>
  </sheetData>
  <mergeCells count="1">
    <mergeCell ref="A1:I2"/>
  </mergeCells>
  <conditionalFormatting sqref="D5:D16">
    <cfRule type="cellIs" priority="1" operator="equal" dxfId="1">
      <formula>"Completed"</formula>
    </cfRule>
    <cfRule type="cellIs" priority="2" operator="equal" dxfId="2">
      <formula>"In Progress"</formula>
    </cfRule>
    <cfRule type="cellIs" priority="3" operator="equal" dxfId="3">
      <formula>"Not Started"</formula>
    </cfRule>
  </conditionalFormatting>
  <conditionalFormatting sqref="F5:F16">
    <cfRule type="cellIs" priority="4" operator="equal" dxfId="1">
      <formula>"Pass"</formula>
    </cfRule>
    <cfRule type="cellIs" priority="5" operator="equal" dxfId="0">
      <formula>"Fail"</formula>
    </cfRule>
    <cfRule type="cellIs" priority="6" operator="equal" dxfId="3">
      <formula>"Pending"</formula>
    </cfRule>
  </conditionalFormatting>
  <dataValidations count="2">
    <dataValidation sqref="D5:D40" showDropDown="0" showInputMessage="0" showErrorMessage="0" allowBlank="1" type="list">
      <formula1>"Not Started,In Progress,Completed"</formula1>
    </dataValidation>
    <dataValidation sqref="F5:F40 H5:H16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15" customWidth="1" min="4" max="4"/>
    <col width="26" customWidth="1" min="5" max="5"/>
    <col width="21" customWidth="1" min="6" max="6"/>
    <col width="23" customWidth="1" min="7" max="7"/>
    <col width="22" customWidth="1" min="8" max="8"/>
    <col width="59" customWidth="1" min="9" max="9"/>
  </cols>
  <sheetData>
    <row r="1">
      <c r="A1" s="17" t="inlineStr">
        <is>
          <t>PYTHON AUTOMATION FRAMEWORKS PROGRESS TRACKER</t>
        </is>
      </c>
    </row>
    <row r="2"/>
    <row r="3"/>
    <row r="4" ht="28" customHeight="1">
      <c r="A4" s="24" t="inlineStr">
        <is>
          <t>Week</t>
        </is>
      </c>
      <c r="B4" s="24" t="inlineStr">
        <is>
          <t>Phase / Module</t>
        </is>
      </c>
      <c r="C4" s="24" t="inlineStr">
        <is>
          <t>Core Focus Area</t>
        </is>
      </c>
      <c r="D4" s="24" t="inlineStr">
        <is>
          <t>Status</t>
        </is>
      </c>
      <c r="E4" s="24" t="inlineStr">
        <is>
          <t>Technical Score (1-10)</t>
        </is>
      </c>
      <c r="F4" s="24" t="inlineStr">
        <is>
          <t>Mypy Type Quality</t>
        </is>
      </c>
      <c r="G4" s="24" t="inlineStr">
        <is>
          <t>HIL Test Coverage %</t>
        </is>
      </c>
      <c r="H4" s="24" t="inlineStr">
        <is>
          <t>Concurrency Safety</t>
        </is>
      </c>
      <c r="I4" s="24" t="inlineStr">
        <is>
          <t>Coach's Action Plan &amp; Remediation Notes</t>
        </is>
      </c>
    </row>
    <row r="5" ht="20" customHeight="1">
      <c r="A5" s="19" t="inlineStr">
        <is>
          <t>Week 01</t>
        </is>
      </c>
      <c r="B5" s="10" t="inlineStr">
        <is>
          <t>Milestone 1: Embedded Py</t>
        </is>
      </c>
      <c r="C5" s="10" t="inlineStr">
        <is>
          <t>Host Automation &amp; CLI Wrapping</t>
        </is>
      </c>
      <c r="D5" s="11" t="inlineStr">
        <is>
          <t>In Progress</t>
        </is>
      </c>
      <c r="E5" s="20" t="n">
        <v>9</v>
      </c>
      <c r="F5" s="11" t="inlineStr">
        <is>
          <t>Pass</t>
        </is>
      </c>
      <c r="G5" s="25" t="n">
        <v>0.95</v>
      </c>
      <c r="H5" s="11" t="inlineStr">
        <is>
          <t>Pass</t>
        </is>
      </c>
      <c r="I5" s="10" t="inlineStr">
        <is>
          <t>Clean type safety setup and robust subprocess timeouts.</t>
        </is>
      </c>
    </row>
    <row r="6" ht="20" customHeight="1">
      <c r="A6" s="21" t="inlineStr">
        <is>
          <t>Week 02</t>
        </is>
      </c>
      <c r="B6" s="13" t="inlineStr">
        <is>
          <t>Milestone 1: Embedded Py</t>
        </is>
      </c>
      <c r="C6" s="13" t="inlineStr">
        <is>
          <t>Milestone Py concepts mapping W2</t>
        </is>
      </c>
      <c r="D6" s="14" t="inlineStr">
        <is>
          <t>Not Started</t>
        </is>
      </c>
      <c r="E6" s="22" t="inlineStr"/>
      <c r="F6" s="14" t="inlineStr">
        <is>
          <t>Pending</t>
        </is>
      </c>
      <c r="G6" s="22" t="inlineStr"/>
      <c r="H6" s="14" t="inlineStr">
        <is>
          <t>Pending</t>
        </is>
      </c>
      <c r="I6" s="13" t="inlineStr"/>
    </row>
    <row r="7" ht="20" customHeight="1">
      <c r="A7" s="19" t="inlineStr">
        <is>
          <t>Week 03</t>
        </is>
      </c>
      <c r="B7" s="10" t="inlineStr">
        <is>
          <t>Milestone 1: Embedded Py</t>
        </is>
      </c>
      <c r="C7" s="10" t="inlineStr">
        <is>
          <t>Milestone Py concepts mapping W3</t>
        </is>
      </c>
      <c r="D7" s="11" t="inlineStr">
        <is>
          <t>Not Started</t>
        </is>
      </c>
      <c r="E7" s="20" t="inlineStr"/>
      <c r="F7" s="11" t="inlineStr">
        <is>
          <t>Pending</t>
        </is>
      </c>
      <c r="G7" s="20" t="inlineStr"/>
      <c r="H7" s="11" t="inlineStr">
        <is>
          <t>Pending</t>
        </is>
      </c>
      <c r="I7" s="10" t="inlineStr"/>
    </row>
    <row r="8" ht="20" customHeight="1">
      <c r="A8" s="21" t="inlineStr">
        <is>
          <t>Week 04</t>
        </is>
      </c>
      <c r="B8" s="13" t="inlineStr">
        <is>
          <t>Milestone 2: HIL Testing</t>
        </is>
      </c>
      <c r="C8" s="13" t="inlineStr">
        <is>
          <t>Milestone Py concepts mapping W4</t>
        </is>
      </c>
      <c r="D8" s="14" t="inlineStr">
        <is>
          <t>Not Started</t>
        </is>
      </c>
      <c r="E8" s="22" t="inlineStr"/>
      <c r="F8" s="14" t="inlineStr">
        <is>
          <t>Pending</t>
        </is>
      </c>
      <c r="G8" s="22" t="inlineStr"/>
      <c r="H8" s="14" t="inlineStr">
        <is>
          <t>Pending</t>
        </is>
      </c>
      <c r="I8" s="13" t="inlineStr"/>
    </row>
    <row r="9" ht="20" customHeight="1">
      <c r="A9" s="19" t="inlineStr">
        <is>
          <t>Week 05</t>
        </is>
      </c>
      <c r="B9" s="10" t="inlineStr">
        <is>
          <t>Milestone 2: HIL Testing</t>
        </is>
      </c>
      <c r="C9" s="10" t="inlineStr">
        <is>
          <t>Milestone Py concepts mapping W5</t>
        </is>
      </c>
      <c r="D9" s="11" t="inlineStr">
        <is>
          <t>Not Started</t>
        </is>
      </c>
      <c r="E9" s="20" t="inlineStr"/>
      <c r="F9" s="11" t="inlineStr">
        <is>
          <t>Pending</t>
        </is>
      </c>
      <c r="G9" s="20" t="inlineStr"/>
      <c r="H9" s="11" t="inlineStr">
        <is>
          <t>Pending</t>
        </is>
      </c>
      <c r="I9" s="10" t="inlineStr"/>
    </row>
    <row r="10" ht="20" customHeight="1">
      <c r="A10" s="21" t="inlineStr">
        <is>
          <t>Week 06</t>
        </is>
      </c>
      <c r="B10" s="13" t="inlineStr">
        <is>
          <t>Milestone 2: HIL Testing</t>
        </is>
      </c>
      <c r="C10" s="13" t="inlineStr">
        <is>
          <t>Milestone Py concepts mapping W6</t>
        </is>
      </c>
      <c r="D10" s="14" t="inlineStr">
        <is>
          <t>Not Started</t>
        </is>
      </c>
      <c r="E10" s="22" t="inlineStr"/>
      <c r="F10" s="14" t="inlineStr">
        <is>
          <t>Pending</t>
        </is>
      </c>
      <c r="G10" s="22" t="inlineStr"/>
      <c r="H10" s="14" t="inlineStr">
        <is>
          <t>Pending</t>
        </is>
      </c>
      <c r="I10" s="13" t="inlineStr"/>
    </row>
    <row r="11" ht="20" customHeight="1">
      <c r="A11" s="19" t="inlineStr">
        <is>
          <t>Week 07</t>
        </is>
      </c>
      <c r="B11" s="10" t="inlineStr">
        <is>
          <t>Milestone 3: Binary Audits</t>
        </is>
      </c>
      <c r="C11" s="10" t="inlineStr">
        <is>
          <t>Milestone Py concepts mapping W7</t>
        </is>
      </c>
      <c r="D11" s="11" t="inlineStr">
        <is>
          <t>Not Started</t>
        </is>
      </c>
      <c r="E11" s="20" t="inlineStr"/>
      <c r="F11" s="11" t="inlineStr">
        <is>
          <t>Pending</t>
        </is>
      </c>
      <c r="G11" s="20" t="inlineStr"/>
      <c r="H11" s="11" t="inlineStr">
        <is>
          <t>Pending</t>
        </is>
      </c>
      <c r="I11" s="10" t="inlineStr"/>
    </row>
    <row r="12" ht="20" customHeight="1">
      <c r="A12" s="21" t="inlineStr">
        <is>
          <t>Week 08</t>
        </is>
      </c>
      <c r="B12" s="13" t="inlineStr">
        <is>
          <t>Milestone 3: Binary Audits</t>
        </is>
      </c>
      <c r="C12" s="13" t="inlineStr">
        <is>
          <t>Milestone Py concepts mapping W8</t>
        </is>
      </c>
      <c r="D12" s="14" t="inlineStr">
        <is>
          <t>Not Started</t>
        </is>
      </c>
      <c r="E12" s="22" t="inlineStr"/>
      <c r="F12" s="14" t="inlineStr">
        <is>
          <t>Pending</t>
        </is>
      </c>
      <c r="G12" s="22" t="inlineStr"/>
      <c r="H12" s="14" t="inlineStr">
        <is>
          <t>Pending</t>
        </is>
      </c>
      <c r="I12" s="13" t="inlineStr"/>
    </row>
    <row r="13" ht="20" customHeight="1">
      <c r="A13" s="19" t="inlineStr">
        <is>
          <t>Week 09</t>
        </is>
      </c>
      <c r="B13" s="10" t="inlineStr">
        <is>
          <t>Milestone 3: Binary Audits</t>
        </is>
      </c>
      <c r="C13" s="10" t="inlineStr">
        <is>
          <t>Milestone Py concepts mapping W9</t>
        </is>
      </c>
      <c r="D13" s="11" t="inlineStr">
        <is>
          <t>Not Started</t>
        </is>
      </c>
      <c r="E13" s="20" t="inlineStr"/>
      <c r="F13" s="11" t="inlineStr">
        <is>
          <t>Pending</t>
        </is>
      </c>
      <c r="G13" s="20" t="inlineStr"/>
      <c r="H13" s="11" t="inlineStr">
        <is>
          <t>Pending</t>
        </is>
      </c>
      <c r="I13" s="10" t="inlineStr"/>
    </row>
    <row r="14" ht="20" customHeight="1">
      <c r="A14" s="21" t="inlineStr">
        <is>
          <t>Week 10</t>
        </is>
      </c>
      <c r="B14" s="13" t="inlineStr">
        <is>
          <t>Milestone 4: Enterprise CI/CD</t>
        </is>
      </c>
      <c r="C14" s="13" t="inlineStr">
        <is>
          <t>Milestone Py concepts mapping W10</t>
        </is>
      </c>
      <c r="D14" s="14" t="inlineStr">
        <is>
          <t>Not Started</t>
        </is>
      </c>
      <c r="E14" s="22" t="inlineStr"/>
      <c r="F14" s="14" t="inlineStr">
        <is>
          <t>Pending</t>
        </is>
      </c>
      <c r="G14" s="22" t="inlineStr"/>
      <c r="H14" s="14" t="inlineStr">
        <is>
          <t>Pending</t>
        </is>
      </c>
      <c r="I14" s="13" t="inlineStr"/>
    </row>
    <row r="15" ht="20" customHeight="1">
      <c r="A15" s="19" t="inlineStr">
        <is>
          <t>Week 11</t>
        </is>
      </c>
      <c r="B15" s="10" t="inlineStr">
        <is>
          <t>Milestone 4: Enterprise CI/CD</t>
        </is>
      </c>
      <c r="C15" s="10" t="inlineStr">
        <is>
          <t>Milestone Py concepts mapping W11</t>
        </is>
      </c>
      <c r="D15" s="11" t="inlineStr">
        <is>
          <t>Not Started</t>
        </is>
      </c>
      <c r="E15" s="20" t="inlineStr"/>
      <c r="F15" s="11" t="inlineStr">
        <is>
          <t>Pending</t>
        </is>
      </c>
      <c r="G15" s="20" t="inlineStr"/>
      <c r="H15" s="11" t="inlineStr">
        <is>
          <t>Pending</t>
        </is>
      </c>
      <c r="I15" s="10" t="inlineStr"/>
    </row>
    <row r="16" ht="20" customHeight="1">
      <c r="A16" s="21" t="inlineStr">
        <is>
          <t>Week 12</t>
        </is>
      </c>
      <c r="B16" s="13" t="inlineStr">
        <is>
          <t>Milestone 4: Enterprise CI/CD</t>
        </is>
      </c>
      <c r="C16" s="13" t="inlineStr">
        <is>
          <t>Milestone Py concepts mapping W12</t>
        </is>
      </c>
      <c r="D16" s="14" t="inlineStr">
        <is>
          <t>Not Started</t>
        </is>
      </c>
      <c r="E16" s="22" t="inlineStr"/>
      <c r="F16" s="14" t="inlineStr">
        <is>
          <t>Pending</t>
        </is>
      </c>
      <c r="G16" s="22" t="inlineStr"/>
      <c r="H16" s="14" t="inlineStr">
        <is>
          <t>Pending</t>
        </is>
      </c>
      <c r="I16" s="13" t="inlineStr"/>
    </row>
  </sheetData>
  <mergeCells count="1">
    <mergeCell ref="A1:I2"/>
  </mergeCells>
  <conditionalFormatting sqref="D5:D16">
    <cfRule type="cellIs" priority="1" operator="equal" dxfId="1">
      <formula>"Completed"</formula>
    </cfRule>
    <cfRule type="cellIs" priority="2" operator="equal" dxfId="2">
      <formula>"In Progress"</formula>
    </cfRule>
    <cfRule type="cellIs" priority="3" operator="equal" dxfId="3">
      <formula>"Not Started"</formula>
    </cfRule>
  </conditionalFormatting>
  <conditionalFormatting sqref="F5:F16">
    <cfRule type="cellIs" priority="4" operator="equal" dxfId="1">
      <formula>"Pass"</formula>
    </cfRule>
    <cfRule type="cellIs" priority="5" operator="equal" dxfId="0">
      <formula>"Fail"</formula>
    </cfRule>
    <cfRule type="cellIs" priority="6" operator="equal" dxfId="3">
      <formula>"Pending"</formula>
    </cfRule>
  </conditionalFormatting>
  <conditionalFormatting sqref="H5:H16">
    <cfRule type="cellIs" priority="7" operator="equal" dxfId="1">
      <formula>"Pass"</formula>
    </cfRule>
    <cfRule type="cellIs" priority="8" operator="equal" dxfId="0">
      <formula>"Fail"</formula>
    </cfRule>
    <cfRule type="cellIs" priority="9" operator="equal" dxfId="3">
      <formula>"Pending"</formula>
    </cfRule>
  </conditionalFormatting>
  <dataValidations count="2">
    <dataValidation sqref="D5:D40" showDropDown="0" showInputMessage="0" showErrorMessage="0" allowBlank="1" type="list">
      <formula1>"Not Started,In Progress,Completed"</formula1>
    </dataValidation>
    <dataValidation sqref="F5:F40 H5:H16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18" customWidth="1" min="5" max="5"/>
    <col width="48" customWidth="1" min="6" max="6"/>
  </cols>
  <sheetData>
    <row r="1" ht="20" customHeight="1">
      <c r="A1" s="26" t="inlineStr">
        <is>
          <t>COACHING MANUAL &amp; METRIC EVALUATION STANDARDS</t>
        </is>
      </c>
    </row>
    <row r="2" ht="20" customHeight="1"/>
    <row r="4">
      <c r="A4" s="1" t="inlineStr">
        <is>
          <t>1. GRANULAR SCORE CARD RUBRIC</t>
        </is>
      </c>
    </row>
    <row r="5" ht="24" customHeight="1">
      <c r="A5" s="9" t="inlineStr">
        <is>
          <t>Metric Category</t>
        </is>
      </c>
      <c r="B5" s="9" t="inlineStr">
        <is>
          <t>High Score (9-10 / 5)</t>
        </is>
      </c>
      <c r="C5" s="9" t="inlineStr">
        <is>
          <t>Nominal Pass (7-8 / 3-4)</t>
        </is>
      </c>
      <c r="D5" s="9" t="inlineStr">
        <is>
          <t>Automatic Failure (0-6 / 1-2)</t>
        </is>
      </c>
    </row>
    <row r="6" ht="24" customHeight="1">
      <c r="A6" s="27" t="inlineStr">
        <is>
          <t>Technical Score (1-10)</t>
        </is>
      </c>
      <c r="B6" s="10" t="inlineStr">
        <is>
          <t>Perfect algorithmic logic, optimized memory maps, and completes the Stretch Task.</t>
        </is>
      </c>
      <c r="C6" s="10" t="inlineStr">
        <is>
          <t>Correct dynamic execution, but minor optimizations or styling can be refined.</t>
        </is>
      </c>
      <c r="D6" s="10" t="inlineStr">
        <is>
          <t>Functional compile errors, logical bugs, lack of unit tests, or core requirement breach.</t>
        </is>
      </c>
    </row>
    <row r="7" ht="24" customHeight="1">
      <c r="A7" s="28" t="inlineStr">
        <is>
          <t>Code Quality (Pass/Fail)</t>
        </is>
      </c>
      <c r="B7" s="13" t="inlineStr">
        <is>
          <t>Pass: Zero warnings under static analysis (Cppcheck) and 100% clean Valgrind run (0 bytes leaked).</t>
        </is>
      </c>
      <c r="C7" s="13" t="inlineStr">
        <is>
          <t>N/A - Pass is absolute.</t>
        </is>
      </c>
      <c r="D7" s="13" t="inlineStr">
        <is>
          <t>Fail: Any compile warnings, static checker errors, or memory leaks/Use-After-Frees.</t>
        </is>
      </c>
    </row>
    <row r="8" ht="24" customHeight="1">
      <c r="A8" s="27" t="inlineStr">
        <is>
          <t>Git Hygiene (1-5)</t>
        </is>
      </c>
      <c r="B8" s="10" t="inlineStr">
        <is>
          <t>Daily atomic commits, clear imperative logs (feat:), and strict .gitignore exclusions.</t>
        </is>
      </c>
      <c r="C8" s="10" t="inlineStr">
        <is>
          <t>Consistent commits, but logs are generic or commits are too large.</t>
        </is>
      </c>
      <c r="D8" s="10" t="inlineStr">
        <is>
          <t>Pushing raw binaries (.o, .pyc, ELFs) or pushing directly to main without PR processes.</t>
        </is>
      </c>
    </row>
    <row r="9" ht="24" customHeight="1">
      <c r="A9" s="28" t="inlineStr">
        <is>
          <t>Hardware Safety (1-5)</t>
        </is>
      </c>
      <c r="B9" s="13" t="inlineStr">
        <is>
          <t>Neat wiring, ESD safety observed, voltage meters verified BEFORE powering up, clean emergency de-energize.</t>
        </is>
      </c>
      <c r="C9" s="13" t="inlineStr">
        <is>
          <t>Correct wiring but chaotic layout, minor floating input hazards.</t>
        </is>
      </c>
      <c r="D9" s="13" t="inlineStr">
        <is>
          <t>Wiring hardware while target MCU is powered on, triggering short circuits, raw rail overloads.</t>
        </is>
      </c>
    </row>
    <row r="10" ht="24" customHeight="1">
      <c r="A10" s="27" t="inlineStr">
        <is>
          <t>Mypy Type Safety (Pass/Fail)</t>
        </is>
      </c>
      <c r="B10" s="10" t="inlineStr">
        <is>
          <t>Pass: mypy --strict passes with 0 alerts, 0 type omissions, and 0 dynamic Any casts.</t>
        </is>
      </c>
      <c r="C10" s="10" t="inlineStr">
        <is>
          <t>N/A - Pass is absolute.</t>
        </is>
      </c>
      <c r="D10" s="10" t="inlineStr">
        <is>
          <t>Fail: Any type validator warnings, untyped function arguments, or parser checks failure.</t>
        </is>
      </c>
    </row>
    <row r="12">
      <c r="A12" s="1" t="inlineStr">
        <is>
          <t>2. WEEKLY EVALUATION CHECKLIST FOR THE COACH</t>
        </is>
      </c>
    </row>
    <row r="13" ht="20" customHeight="1">
      <c r="A13" s="27" t="inlineStr">
        <is>
          <t>Step 1: Code Quality Audit</t>
        </is>
      </c>
      <c r="B13" s="10" t="inlineStr">
        <is>
          <t>For C: Run static analysis `cppcheck --enable=all src/`. For Python: Run type auditor `mypy --strict src/`. Ensure 0 warnings are returned.</t>
        </is>
      </c>
      <c r="C13" s="29" t="n"/>
      <c r="D13" s="30" t="n"/>
    </row>
    <row r="14" ht="20" customHeight="1">
      <c r="A14" s="27" t="inlineStr">
        <is>
          <t>Step 2: Dynamic Leak Audits</t>
        </is>
      </c>
      <c r="B14" s="10" t="inlineStr">
        <is>
          <t>For C: Run compiled test suite under Valgrind Memcheck: `valgrind --leak-check=full ./test_bin`. Verify 0 leaks exist.</t>
        </is>
      </c>
      <c r="C14" s="29" t="n"/>
      <c r="D14" s="30" t="n"/>
    </row>
    <row r="15" ht="20" customHeight="1">
      <c r="A15" s="27" t="inlineStr">
        <is>
          <t>Step 3: Concurrency Safety</t>
        </is>
      </c>
      <c r="B15" s="10" t="inlineStr">
        <is>
          <t>For Python: Run HIL suites under Helgrind: `valgrind --tool=helgrind python -m pytest`. Ensure 0 race warnings exist.</t>
        </is>
      </c>
      <c r="C15" s="29" t="n"/>
      <c r="D15" s="30" t="n"/>
    </row>
    <row r="16" ht="20" customHeight="1">
      <c r="A16" s="27" t="inlineStr">
        <is>
          <t>Step 4: Update Excel &amp; Alert</t>
        </is>
      </c>
      <c r="B16" s="10" t="inlineStr">
        <is>
          <t>Record grades in corresponding sheets. If any check fails, toggle quality to 'Fail'—this automatically flags a global red alert on Tab 1.</t>
        </is>
      </c>
      <c r="C16" s="29" t="n"/>
      <c r="D16" s="30" t="n"/>
    </row>
    <row r="18">
      <c r="A18" s="1" t="inlineStr">
        <is>
          <t>3. IDEAL DATA LOGGING EXAMPLES (MEASURABLE RESULTS)</t>
        </is>
      </c>
    </row>
    <row r="19" ht="24" customHeight="1">
      <c r="A19" s="9" t="inlineStr">
        <is>
          <t>Track Module</t>
        </is>
      </c>
      <c r="B19" s="9" t="inlineStr">
        <is>
          <t>Status</t>
        </is>
      </c>
      <c r="C19" s="9" t="inlineStr">
        <is>
          <t>Tech</t>
        </is>
      </c>
      <c r="D19" s="9" t="inlineStr">
        <is>
          <t>Quality Grade</t>
        </is>
      </c>
      <c r="E19" s="9" t="inlineStr">
        <is>
          <t>Safe / Git Score</t>
        </is>
      </c>
      <c r="F19" s="9" t="inlineStr">
        <is>
          <t>Action Plan / Remediation Notes Example</t>
        </is>
      </c>
    </row>
    <row r="20" ht="24" customHeight="1">
      <c r="A20" s="27" t="inlineStr">
        <is>
          <t>C Week 01: Build Systems</t>
        </is>
      </c>
      <c r="B20" s="11" t="inlineStr">
        <is>
          <t>Completed</t>
        </is>
      </c>
      <c r="C20" s="20" t="n">
        <v>9</v>
      </c>
      <c r="D20" s="11" t="inlineStr">
        <is>
          <t>Pass (MISRA)</t>
        </is>
      </c>
      <c r="E20" s="20" t="n">
        <v>5</v>
      </c>
      <c r="F20" s="10" t="inlineStr">
        <is>
          <t>Matrix library compiles cleanly. Incremental Makefile dependency tracking verified (.d files). Symbol nm audits pass.</t>
        </is>
      </c>
    </row>
    <row r="21" ht="24" customHeight="1">
      <c r="A21" s="28" t="inlineStr">
        <is>
          <t>C Week 02: CPU Realities</t>
        </is>
      </c>
      <c r="B21" s="14" t="inlineStr">
        <is>
          <t>In Progress</t>
        </is>
      </c>
      <c r="C21" s="22" t="n">
        <v>8</v>
      </c>
      <c r="D21" s="14" t="inlineStr">
        <is>
          <t>Pending</t>
        </is>
      </c>
      <c r="E21" s="22" t="n">
        <v>4</v>
      </c>
      <c r="F21" s="13" t="inlineStr">
        <is>
          <t>Working on float coordinates parser. Reminded student to replace direct float equality checks with epsilon comparisons.</t>
        </is>
      </c>
    </row>
    <row r="22" ht="24" customHeight="1">
      <c r="A22" s="27" t="inlineStr">
        <is>
          <t>Py Week 01: Subprocesses</t>
        </is>
      </c>
      <c r="B22" s="11" t="inlineStr">
        <is>
          <t>Completed</t>
        </is>
      </c>
      <c r="C22" s="20" t="n">
        <v>9</v>
      </c>
      <c r="D22" s="11" t="inlineStr">
        <is>
          <t>Pass (Mypy)</t>
        </is>
      </c>
      <c r="E22" s="20" t="inlineStr">
        <is>
          <t>95% Cov</t>
        </is>
      </c>
      <c r="F22" s="10" t="inlineStr">
        <is>
          <t>Flashing automation tool is fully operational. Successfully captures toolchain stderr loops. TimeoutExpired limits are locked.</t>
        </is>
      </c>
    </row>
  </sheetData>
  <mergeCells count="5">
    <mergeCell ref="B14:D14"/>
    <mergeCell ref="A1:G2"/>
    <mergeCell ref="B13:D13"/>
    <mergeCell ref="B15:D15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2026-05-27T19:24:10Z</dcterms:created>
  <dcterms:modified xmlns:dcterms="http://purl.org/dc/terms/" xmlns:xsi="http://www.w3.org/2001/XMLSchema-instance" xsi:type="dcterms:W3CDTF">2026-05-27T19:24:10Z</dcterms:modified>
</cp:coreProperties>
</file>